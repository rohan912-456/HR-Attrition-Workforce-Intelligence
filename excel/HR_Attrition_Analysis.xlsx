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Data Analytics Projects\HR Attrition &amp; Workforce Intelligence\Excel_Phase\"/>
    </mc:Choice>
  </mc:AlternateContent>
  <bookViews>
    <workbookView xWindow="0" yWindow="0" windowWidth="16815" windowHeight="7260" activeTab="2"/>
  </bookViews>
  <sheets>
    <sheet name="HR_Summary_Dashboard" sheetId="5" r:id="rId1"/>
    <sheet name="Pivot_Analysis" sheetId="3" r:id="rId2"/>
    <sheet name="HR-Employee-Attrition" sheetId="1" r:id="rId3"/>
    <sheet name="Data_Quality_Check" sheetId="2" r:id="rId4"/>
  </sheets>
  <calcPr calcId="152511"/>
  <pivotCaches>
    <pivotCache cacheId="0" r:id="rId5"/>
  </pivotCaches>
</workbook>
</file>

<file path=xl/calcChain.xml><?xml version="1.0" encoding="utf-8"?>
<calcChain xmlns="http://schemas.openxmlformats.org/spreadsheetml/2006/main">
  <c r="K3" i="5" l="1"/>
  <c r="E3" i="5"/>
  <c r="H3" i="5" s="1"/>
  <c r="B3" i="5"/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2" i="1"/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2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  <c r="AQ11" i="1"/>
  <c r="AQ12" i="1"/>
  <c r="AQ10" i="1"/>
  <c r="AQ8" i="1"/>
  <c r="B4" i="2"/>
  <c r="B6" i="2"/>
  <c r="B5" i="2"/>
  <c r="B3" i="2"/>
  <c r="B2" i="2"/>
  <c r="AQ3" i="1" l="1"/>
  <c r="AQ5" i="1" s="1"/>
  <c r="AQ4" i="1"/>
  <c r="AQ2" i="1"/>
</calcChain>
</file>

<file path=xl/sharedStrings.xml><?xml version="1.0" encoding="utf-8"?>
<sst xmlns="http://schemas.openxmlformats.org/spreadsheetml/2006/main" count="13334" uniqueCount="93">
  <si>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</si>
  <si>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</si>
  <si>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</si>
  <si>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</si>
  <si>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</si>
  <si>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</si>
  <si>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</si>
  <si>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</si>
  <si>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</si>
  <si>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</si>
  <si>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</si>
  <si>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</si>
  <si>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</si>
  <si>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</si>
  <si>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</si>
  <si>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</si>
  <si>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</si>
  <si>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</si>
  <si>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</si>
  <si>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</si>
  <si>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</si>
  <si>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</si>
  <si>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</si>
  <si>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</si>
  <si>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</si>
  <si>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</si>
  <si>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</si>
  <si>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</si>
  <si>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</si>
  <si>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</si>
  <si>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</si>
  <si>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</si>
  <si>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</si>
  <si>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</si>
  <si>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</si>
  <si>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</si>
  <si>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</si>
  <si>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</si>
  <si>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</si>
  <si>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</si>
  <si>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</si>
  <si>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</si>
  <si>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</si>
  <si>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</si>
  <si>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</si>
  <si>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</si>
  <si>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</si>
  <si>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</si>
  <si>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</si>
  <si>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</si>
  <si>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</si>
  <si>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</si>
  <si>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</si>
  <si>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</si>
  <si>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</si>
  <si>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</si>
  <si>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</si>
  <si>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</si>
  <si>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</si>
  <si>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</si>
  <si>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</si>
  <si>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</si>
  <si>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Employees</t>
  </si>
  <si>
    <t>Employees Left</t>
  </si>
  <si>
    <t>Employees Stayed</t>
  </si>
  <si>
    <t>Overall Attrition Rate</t>
  </si>
  <si>
    <t>Column Checked</t>
  </si>
  <si>
    <t>Blank Column</t>
  </si>
  <si>
    <t>Duplicate Employeees ID's</t>
  </si>
  <si>
    <t>Identifying duplucates &amp; constant columns</t>
  </si>
  <si>
    <t>Attrition_Flag</t>
  </si>
  <si>
    <t>Age_Group</t>
  </si>
  <si>
    <t>Tenure_Group</t>
  </si>
  <si>
    <t>Income_Band</t>
  </si>
  <si>
    <t>High_Risk_Flag</t>
  </si>
  <si>
    <t xml:space="preserve"> </t>
  </si>
  <si>
    <t>Row Labels</t>
  </si>
  <si>
    <t>Grand Total</t>
  </si>
  <si>
    <t>Average of Attrition_Flag</t>
  </si>
  <si>
    <t>25-34</t>
  </si>
  <si>
    <t>35-44</t>
  </si>
  <si>
    <t>45-54</t>
  </si>
  <si>
    <t>55+</t>
  </si>
  <si>
    <t>Under 25</t>
  </si>
  <si>
    <t>Column Labels</t>
  </si>
  <si>
    <t>0-1 yrs (New)</t>
  </si>
  <si>
    <t>10+ yrs (Veteran)</t>
  </si>
  <si>
    <t>Average of MonthlyIncome</t>
  </si>
  <si>
    <t>Total Leavers</t>
  </si>
  <si>
    <t>Avg Tenture of Leavers</t>
  </si>
  <si>
    <t>HR Attrition Analysis</t>
  </si>
  <si>
    <t>5-9 yrs (Senior)</t>
  </si>
  <si>
    <t>2-4 yrs (Mid)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</si>
</sst>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&quot;$&quot;#,##0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16"/>
      <color rgb="FF00B05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0" fillId="0" borderId="0" xfId="0" applyFont="1" applyFill="1"/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164" fontId="18" fillId="33" borderId="0" xfId="0" applyNumberFormat="1" applyFont="1" applyFill="1" applyAlignment="1">
      <alignment horizontal="center"/>
    </xf>
    <xf numFmtId="166" fontId="18" fillId="33" borderId="0" xfId="0" applyNumberFormat="1" applyFont="1" applyFill="1" applyAlignment="1">
      <alignment horizontal="center"/>
    </xf>
    <xf numFmtId="0" fontId="18" fillId="33" borderId="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D2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[HR_Attrition_Analysis.xlsx]Pivot_Analysis!PivotTable1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50000"/>
                  </a:schemeClr>
                </a:solidFill>
              </a:rPr>
              <a:t>Attrition Rate by Department (%)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Pivot_Analysis!$B$4:$B$7</c:f>
              <c:numCache>
                <c:formatCode>0.0%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9262240"/>
        <c:axId val="339262624"/>
      </c:barChart>
      <c:catAx>
        <c:axId val="33926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62624"/>
        <c:crosses val="autoZero"/>
        <c:auto val="1"/>
        <c:lblAlgn val="ctr"/>
        <c:lblOffset val="100"/>
        <c:noMultiLvlLbl val="0"/>
      </c:catAx>
      <c:valAx>
        <c:axId val="33926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6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[HR_Attrition_Analysis.xlsx]Pivot_Analysis!PivotTable2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bg2">
                    <a:lumMod val="50000"/>
                  </a:schemeClr>
                </a:solidFill>
              </a:rPr>
              <a:t>Attrition Rate: OverTime vs No OverTime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00D25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D25F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Pivot_Analysis!$D$4:$D$6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Pivot_Analysis!$E$4:$E$6</c:f>
              <c:numCache>
                <c:formatCode>0.0%</c:formatCode>
                <c:ptCount val="2"/>
                <c:pt idx="0">
                  <c:v>0.30528846153846156</c:v>
                </c:pt>
                <c:pt idx="1">
                  <c:v>0.10436432637571158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38724208"/>
        <c:axId val="338724592"/>
      </c:barChart>
      <c:catAx>
        <c:axId val="3387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724592"/>
        <c:crosses val="autoZero"/>
        <c:auto val="1"/>
        <c:lblAlgn val="ctr"/>
        <c:lblOffset val="100"/>
        <c:noMultiLvlLbl val="0"/>
      </c:catAx>
      <c:valAx>
        <c:axId val="33872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72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[HR_Attrition_Analysis.xlsx]Pivot_Analysis!PivotTable3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50000"/>
                  </a:schemeClr>
                </a:solidFill>
              </a:rPr>
              <a:t>Attrition Rate by Job Role (%)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Pivot_Analysis!$A$11:$A$20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Pivot_Analysis!$B$11:$B$20</c:f>
              <c:numCache>
                <c:formatCode>0.0%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38715632"/>
        <c:axId val="338842016"/>
      </c:barChart>
      <c:catAx>
        <c:axId val="33871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842016"/>
        <c:crosses val="autoZero"/>
        <c:auto val="1"/>
        <c:lblAlgn val="ctr"/>
        <c:lblOffset val="100"/>
        <c:noMultiLvlLbl val="0"/>
      </c:catAx>
      <c:valAx>
        <c:axId val="33884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71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[HR_Attrition_Analysis.xlsx]Pivot_Analysis!PivotTable4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Age Group &amp; Tenure (%)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Pivot_Analysis!$E$16:$E$17</c:f>
              <c:strCache>
                <c:ptCount val="1"/>
                <c:pt idx="0">
                  <c:v>0-1 yrs (New)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Pivot_Analysis!$D$18:$D$23</c:f>
              <c:strCache>
                <c:ptCount val="5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Pivot_Analysis!$E$18:$E$23</c:f>
              <c:numCache>
                <c:formatCode>0.0%</c:formatCode>
                <c:ptCount val="5"/>
                <c:pt idx="0">
                  <c:v>0.60465116279069764</c:v>
                </c:pt>
                <c:pt idx="1">
                  <c:v>0.43939393939393939</c:v>
                </c:pt>
                <c:pt idx="2">
                  <c:v>0.2</c:v>
                </c:pt>
                <c:pt idx="3">
                  <c:v>0.15</c:v>
                </c:pt>
                <c:pt idx="4">
                  <c:v>0.18181818181818182</c:v>
                </c:pt>
              </c:numCache>
            </c:numRef>
          </c:val>
        </c:ser>
        <c:ser>
          <c:idx val="1"/>
          <c:order val="1"/>
          <c:tx>
            <c:strRef>
              <c:f>Pivot_Analysis!$F$16:$F$17</c:f>
              <c:strCache>
                <c:ptCount val="1"/>
                <c:pt idx="0">
                  <c:v>10+ yrs (Veteran)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Pivot_Analysis!$D$18:$D$23</c:f>
              <c:strCache>
                <c:ptCount val="5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Pivot_Analysis!$F$18:$F$23</c:f>
              <c:numCache>
                <c:formatCode>0.0%</c:formatCode>
                <c:ptCount val="5"/>
                <c:pt idx="1">
                  <c:v>0.13207547169811321</c:v>
                </c:pt>
                <c:pt idx="2">
                  <c:v>8.3333333333333329E-2</c:v>
                </c:pt>
                <c:pt idx="3">
                  <c:v>7.407407407407407E-2</c:v>
                </c:pt>
                <c:pt idx="4">
                  <c:v>0.21739130434782608</c:v>
                </c:pt>
              </c:numCache>
            </c:numRef>
          </c:val>
        </c:ser>
        <c:ser>
          <c:idx val="2"/>
          <c:order val="2"/>
          <c:tx>
            <c:strRef>
              <c:f>Pivot_Analysis!$G$16:$G$17</c:f>
              <c:strCache>
                <c:ptCount val="1"/>
                <c:pt idx="0">
                  <c:v>5-9 yrs (Senior)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Pivot_Analysis!$D$18:$D$23</c:f>
              <c:strCache>
                <c:ptCount val="5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Pivot_Analysis!$G$18:$G$23</c:f>
              <c:numCache>
                <c:formatCode>0.0%</c:formatCode>
                <c:ptCount val="5"/>
                <c:pt idx="0">
                  <c:v>0.25</c:v>
                </c:pt>
                <c:pt idx="1">
                  <c:v>0.13043478260869565</c:v>
                </c:pt>
                <c:pt idx="2">
                  <c:v>6.8965517241379309E-2</c:v>
                </c:pt>
                <c:pt idx="3">
                  <c:v>0.11627906976744186</c:v>
                </c:pt>
                <c:pt idx="4">
                  <c:v>0.13636363636363635</c:v>
                </c:pt>
              </c:numCache>
            </c:numRef>
          </c:val>
        </c:ser>
        <c:ser>
          <c:idx val="3"/>
          <c:order val="3"/>
          <c:tx>
            <c:strRef>
              <c:f>Pivot_Analysis!$H$16:$H$17</c:f>
              <c:strCache>
                <c:ptCount val="1"/>
                <c:pt idx="0">
                  <c:v>2-4 yrs (Mid)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Pivot_Analysis!$D$18:$D$23</c:f>
              <c:strCache>
                <c:ptCount val="5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Pivot_Analysis!$H$18:$H$23</c:f>
              <c:numCache>
                <c:formatCode>0.0%</c:formatCode>
                <c:ptCount val="5"/>
                <c:pt idx="0">
                  <c:v>0.21428571428571427</c:v>
                </c:pt>
                <c:pt idx="1">
                  <c:v>0.25657894736842107</c:v>
                </c:pt>
                <c:pt idx="2">
                  <c:v>0.11</c:v>
                </c:pt>
                <c:pt idx="3">
                  <c:v>0.10344827586206896</c:v>
                </c:pt>
                <c:pt idx="4">
                  <c:v>7.6923076923076927E-2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8951424"/>
        <c:axId val="428951816"/>
      </c:barChart>
      <c:catAx>
        <c:axId val="42895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951816"/>
        <c:crosses val="autoZero"/>
        <c:auto val="1"/>
        <c:lblAlgn val="ctr"/>
        <c:lblOffset val="100"/>
        <c:noMultiLvlLbl val="0"/>
      </c:catAx>
      <c:valAx>
        <c:axId val="42895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95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3</xdr:row>
      <xdr:rowOff>9525</xdr:rowOff>
    </xdr:from>
    <xdr:to>
      <xdr:col>13</xdr:col>
      <xdr:colOff>0</xdr:colOff>
      <xdr:row>17</xdr:row>
      <xdr:rowOff>986</xdr:rowOff>
    </xdr:to>
    <xdr:grpSp>
      <xdr:nvGrpSpPr>
        <xdr:cNvPr id="2" name="Group 1"/>
        <xdr:cNvGrpSpPr/>
      </xdr:nvGrpSpPr>
      <xdr:grpSpPr>
        <a:xfrm>
          <a:off x="609599" y="866775"/>
          <a:ext cx="7496176" cy="2658461"/>
          <a:chOff x="609599" y="857250"/>
          <a:chExt cx="6276975" cy="2667986"/>
        </a:xfrm>
      </xdr:grpSpPr>
      <xdr:graphicFrame macro="">
        <xdr:nvGraphicFramePr>
          <xdr:cNvPr id="3" name="Chart 2"/>
          <xdr:cNvGraphicFramePr>
            <a:graphicFrameLocks/>
          </xdr:cNvGraphicFramePr>
        </xdr:nvGraphicFramePr>
        <xdr:xfrm>
          <a:off x="609599" y="857250"/>
          <a:ext cx="3067051" cy="26679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/>
          <xdr:cNvGraphicFramePr>
            <a:graphicFrameLocks/>
          </xdr:cNvGraphicFramePr>
        </xdr:nvGraphicFramePr>
        <xdr:xfrm>
          <a:off x="3676649" y="857250"/>
          <a:ext cx="3209925" cy="26679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9525</xdr:colOff>
      <xdr:row>17</xdr:row>
      <xdr:rowOff>0</xdr:rowOff>
    </xdr:from>
    <xdr:to>
      <xdr:col>13</xdr:col>
      <xdr:colOff>0</xdr:colOff>
      <xdr:row>45</xdr:row>
      <xdr:rowOff>190499</xdr:rowOff>
    </xdr:to>
    <xdr:grpSp>
      <xdr:nvGrpSpPr>
        <xdr:cNvPr id="7" name="Group 6"/>
        <xdr:cNvGrpSpPr/>
      </xdr:nvGrpSpPr>
      <xdr:grpSpPr>
        <a:xfrm>
          <a:off x="619125" y="3524250"/>
          <a:ext cx="7486650" cy="5524499"/>
          <a:chOff x="619125" y="3524250"/>
          <a:chExt cx="6257925" cy="5524499"/>
        </a:xfrm>
      </xdr:grpSpPr>
      <xdr:graphicFrame macro="">
        <xdr:nvGraphicFramePr>
          <xdr:cNvPr id="5" name="Chart 4"/>
          <xdr:cNvGraphicFramePr>
            <a:graphicFrameLocks/>
          </xdr:cNvGraphicFramePr>
        </xdr:nvGraphicFramePr>
        <xdr:xfrm>
          <a:off x="619125" y="3524250"/>
          <a:ext cx="6257924" cy="2085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/>
          <xdr:cNvGraphicFramePr>
            <a:graphicFrameLocks/>
          </xdr:cNvGraphicFramePr>
        </xdr:nvGraphicFramePr>
        <xdr:xfrm>
          <a:off x="619125" y="5623832"/>
          <a:ext cx="6257925" cy="34249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62.788213425927" createdVersion="5" refreshedVersion="5" minRefreshableVersion="3" recordCount="1470">
  <cacheSource type="worksheet">
    <worksheetSource ref="A1:AN1471" sheet="HR-Employee-Attrition"/>
  </cacheSource>
  <cacheFields count="40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/>
    </cacheField>
    <cacheField name="Age_Group" numFmtId="0">
      <sharedItems count="5">
        <s v="35-44"/>
        <s v="45-54"/>
        <s v="25-34"/>
        <s v="55+"/>
        <s v="Under 25"/>
      </sharedItems>
    </cacheField>
    <cacheField name="Tenure_Group" numFmtId="0">
      <sharedItems count="6">
        <s v="5-9 yrs (Senior)"/>
        <s v="10+ yrs (Veteran)"/>
        <s v="0-1 yrs (New)"/>
        <s v="2-4 yrs (Mid)"/>
        <s v="2-4 yrs" u="1"/>
        <s v="5-9 yrs" u="1"/>
      </sharedItems>
    </cacheField>
    <cacheField name="Income_Band" numFmtId="0">
      <sharedItems/>
    </cacheField>
    <cacheField name="High_Risk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n v="1"/>
    <x v="0"/>
    <x v="0"/>
    <s v="Mid (3K-7K)"/>
    <s v="Normal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n v="0"/>
    <x v="1"/>
    <x v="1"/>
    <s v="Mid (3K-7K)"/>
    <s v="Normal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n v="1"/>
    <x v="0"/>
    <x v="2"/>
    <s v="Low (&lt;3K)"/>
    <s v="Normal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n v="0"/>
    <x v="2"/>
    <x v="0"/>
    <s v="Low (&lt;3K)"/>
    <s v="Normal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n v="0"/>
    <x v="2"/>
    <x v="3"/>
    <s v="Mid (3K-7K)"/>
    <s v="Normal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n v="0"/>
    <x v="2"/>
    <x v="0"/>
    <s v="Mid (3K-7K)"/>
    <s v="Normal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n v="0"/>
    <x v="3"/>
    <x v="2"/>
    <s v="Low (&lt;3K)"/>
    <s v="High Risk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n v="0"/>
    <x v="2"/>
    <x v="2"/>
    <s v="Low (&lt;3K)"/>
    <s v="Normal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n v="0"/>
    <x v="0"/>
    <x v="0"/>
    <s v="High (7K-12K)"/>
    <s v="Normal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n v="0"/>
    <x v="0"/>
    <x v="0"/>
    <s v="Mid (3K-7K)"/>
    <s v="Normal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n v="0"/>
    <x v="0"/>
    <x v="0"/>
    <s v="Low (&lt;3K)"/>
    <s v="Normal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n v="0"/>
    <x v="2"/>
    <x v="0"/>
    <s v="Mid (3K-7K)"/>
    <s v="Normal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n v="0"/>
    <x v="2"/>
    <x v="0"/>
    <s v="Low (&lt;3K)"/>
    <s v="Normal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n v="0"/>
    <x v="2"/>
    <x v="3"/>
    <s v="Low (&lt;3K)"/>
    <s v="Normal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n v="1"/>
    <x v="2"/>
    <x v="3"/>
    <s v="Low (&lt;3K)"/>
    <s v="Normal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n v="0"/>
    <x v="2"/>
    <x v="1"/>
    <s v="High (7K-12K)"/>
    <s v="Normal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n v="0"/>
    <x v="2"/>
    <x v="0"/>
    <s v="Mid (3K-7K)"/>
    <s v="High Risk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n v="0"/>
    <x v="4"/>
    <x v="2"/>
    <s v="Low (&lt;3K)"/>
    <s v="Normal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n v="0"/>
    <x v="1"/>
    <x v="1"/>
    <s v="Very High (12K+)"/>
    <s v="Normal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n v="0"/>
    <x v="0"/>
    <x v="3"/>
    <s v="Mid (3K-7K)"/>
    <s v="Normal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n v="0"/>
    <x v="4"/>
    <x v="3"/>
    <s v="Mid (3K-7K)"/>
    <s v="Normal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n v="1"/>
    <x v="0"/>
    <x v="0"/>
    <s v="Mid (3K-7K)"/>
    <s v="Normal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n v="0"/>
    <x v="2"/>
    <x v="1"/>
    <s v="High (7K-12K)"/>
    <s v="Normal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n v="0"/>
    <x v="4"/>
    <x v="2"/>
    <s v="Low (&lt;3K)"/>
    <s v="Normal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n v="1"/>
    <x v="2"/>
    <x v="3"/>
    <s v="Low (&lt;3K)"/>
    <s v="Normal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n v="0"/>
    <x v="1"/>
    <x v="1"/>
    <s v="Very High (12K+)"/>
    <s v="Normal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n v="1"/>
    <x v="2"/>
    <x v="1"/>
    <s v="Mid (3K-7K)"/>
    <s v="High Risk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n v="0"/>
    <x v="0"/>
    <x v="0"/>
    <s v="Mid (3K-7K)"/>
    <s v="Normal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n v="0"/>
    <x v="0"/>
    <x v="1"/>
    <s v="High (7K-12K)"/>
    <s v="Normal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n v="0"/>
    <x v="1"/>
    <x v="3"/>
    <s v="Very High (12K+)"/>
    <s v="Normal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n v="0"/>
    <x v="2"/>
    <x v="2"/>
    <s v="Low (&lt;3K)"/>
    <s v="Normal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n v="0"/>
    <x v="0"/>
    <x v="3"/>
    <s v="Mid (3K-7K)"/>
    <s v="Normal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n v="0"/>
    <x v="2"/>
    <x v="1"/>
    <s v="Low (&lt;3K)"/>
    <s v="Normal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n v="1"/>
    <x v="0"/>
    <x v="2"/>
    <s v="Low (&lt;3K)"/>
    <s v="Normal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n v="1"/>
    <x v="4"/>
    <x v="3"/>
    <s v="Low (&lt;3K)"/>
    <s v="Normal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n v="0"/>
    <x v="0"/>
    <x v="0"/>
    <s v="Low (&lt;3K)"/>
    <s v="Normal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n v="1"/>
    <x v="1"/>
    <x v="3"/>
    <s v="Low (&lt;3K)"/>
    <s v="Normal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n v="0"/>
    <x v="0"/>
    <x v="3"/>
    <s v="Low (&lt;3K)"/>
    <s v="Normal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n v="0"/>
    <x v="0"/>
    <x v="2"/>
    <s v="Mid (3K-7K)"/>
    <s v="High Risk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n v="0"/>
    <x v="2"/>
    <x v="0"/>
    <s v="Mid (3K-7K)"/>
    <s v="Normal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n v="0"/>
    <x v="0"/>
    <x v="2"/>
    <s v="Low (&lt;3K)"/>
    <s v="Normal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n v="0"/>
    <x v="2"/>
    <x v="2"/>
    <s v="Low (&lt;3K)"/>
    <s v="Normal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n v="1"/>
    <x v="2"/>
    <x v="2"/>
    <s v="Low (&lt;3K)"/>
    <s v="Normal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n v="0"/>
    <x v="2"/>
    <x v="0"/>
    <s v="High (7K-12K)"/>
    <s v="Normal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n v="0"/>
    <x v="2"/>
    <x v="1"/>
    <s v="Mid (3K-7K)"/>
    <s v="Normal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n v="1"/>
    <x v="0"/>
    <x v="1"/>
    <s v="Very High (12K+)"/>
    <s v="Normal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n v="0"/>
    <x v="2"/>
    <x v="0"/>
    <s v="Mid (3K-7K)"/>
    <s v="Normal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n v="0"/>
    <x v="0"/>
    <x v="2"/>
    <s v="Mid (3K-7K)"/>
    <s v="Normal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n v="0"/>
    <x v="1"/>
    <x v="0"/>
    <s v="Mid (3K-7K)"/>
    <s v="Normal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n v="0"/>
    <x v="0"/>
    <x v="2"/>
    <s v="Low (&lt;3K)"/>
    <s v="Normal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n v="1"/>
    <x v="1"/>
    <x v="2"/>
    <s v="Mid (3K-7K)"/>
    <s v="Normal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n v="1"/>
    <x v="2"/>
    <x v="3"/>
    <s v="Mid (3K-7K)"/>
    <s v="Normal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n v="0"/>
    <x v="0"/>
    <x v="3"/>
    <s v="Mid (3K-7K)"/>
    <s v="High Risk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n v="0"/>
    <x v="0"/>
    <x v="3"/>
    <s v="High (7K-12K)"/>
    <s v="High Risk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n v="0"/>
    <x v="2"/>
    <x v="3"/>
    <s v="Mid (3K-7K)"/>
    <s v="Normal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n v="0"/>
    <x v="2"/>
    <x v="1"/>
    <s v="Very High (12K+)"/>
    <s v="Normal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n v="0"/>
    <x v="0"/>
    <x v="0"/>
    <s v="High (7K-12K)"/>
    <s v="Normal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n v="0"/>
    <x v="0"/>
    <x v="3"/>
    <s v="Mid (3K-7K)"/>
    <s v="High Risk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n v="0"/>
    <x v="2"/>
    <x v="0"/>
    <s v="Mid (3K-7K)"/>
    <s v="Normal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n v="0"/>
    <x v="0"/>
    <x v="0"/>
    <s v="Mid (3K-7K)"/>
    <s v="Normal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n v="0"/>
    <x v="2"/>
    <x v="0"/>
    <s v="Mid (3K-7K)"/>
    <s v="Normal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n v="0"/>
    <x v="0"/>
    <x v="1"/>
    <s v="Low (&lt;3K)"/>
    <s v="Normal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n v="0"/>
    <x v="1"/>
    <x v="1"/>
    <s v="Very High (12K+)"/>
    <s v="Normal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n v="0"/>
    <x v="3"/>
    <x v="1"/>
    <s v="High (7K-12K)"/>
    <s v="Normal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n v="0"/>
    <x v="0"/>
    <x v="1"/>
    <s v="High (7K-12K)"/>
    <s v="Normal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n v="0"/>
    <x v="3"/>
    <x v="0"/>
    <s v="Very High (12K+)"/>
    <s v="Normal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n v="0"/>
    <x v="0"/>
    <x v="0"/>
    <s v="Mid (3K-7K)"/>
    <s v="Normal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n v="0"/>
    <x v="1"/>
    <x v="2"/>
    <s v="High (7K-12K)"/>
    <s v="Normal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n v="0"/>
    <x v="0"/>
    <x v="3"/>
    <s v="Low (&lt;3K)"/>
    <s v="Normal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n v="1"/>
    <x v="0"/>
    <x v="2"/>
    <s v="Mid (3K-7K)"/>
    <s v="Normal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n v="0"/>
    <x v="3"/>
    <x v="3"/>
    <s v="Mid (3K-7K)"/>
    <s v="Normal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n v="0"/>
    <x v="2"/>
    <x v="0"/>
    <s v="Low (&lt;3K)"/>
    <s v="Normal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n v="0"/>
    <x v="2"/>
    <x v="2"/>
    <s v="Low (&lt;3K)"/>
    <s v="Normal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n v="0"/>
    <x v="2"/>
    <x v="1"/>
    <s v="Mid (3K-7K)"/>
    <s v="Normal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n v="0"/>
    <x v="0"/>
    <x v="2"/>
    <s v="Mid (3K-7K)"/>
    <s v="Normal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n v="0"/>
    <x v="2"/>
    <x v="1"/>
    <s v="Mid (3K-7K)"/>
    <s v="Normal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n v="0"/>
    <x v="0"/>
    <x v="1"/>
    <s v="Mid (3K-7K)"/>
    <s v="Normal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n v="0"/>
    <x v="1"/>
    <x v="2"/>
    <s v="Very High (12K+)"/>
    <s v="High Risk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n v="0"/>
    <x v="0"/>
    <x v="0"/>
    <s v="Very High (12K+)"/>
    <s v="Normal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n v="0"/>
    <x v="1"/>
    <x v="3"/>
    <s v="Mid (3K-7K)"/>
    <s v="High Risk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n v="0"/>
    <x v="2"/>
    <x v="1"/>
    <s v="Mid (3K-7K)"/>
    <s v="Normal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n v="0"/>
    <x v="0"/>
    <x v="0"/>
    <s v="Low (&lt;3K)"/>
    <s v="Normal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n v="0"/>
    <x v="3"/>
    <x v="2"/>
    <s v="High (7K-12K)"/>
    <s v="Normal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n v="0"/>
    <x v="0"/>
    <x v="1"/>
    <s v="Mid (3K-7K)"/>
    <s v="Normal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n v="0"/>
    <x v="2"/>
    <x v="0"/>
    <s v="Mid (3K-7K)"/>
    <s v="Normal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n v="0"/>
    <x v="3"/>
    <x v="0"/>
    <s v="High (7K-12K)"/>
    <s v="Normal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n v="0"/>
    <x v="4"/>
    <x v="2"/>
    <s v="Low (&lt;3K)"/>
    <s v="Normal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n v="0"/>
    <x v="1"/>
    <x v="3"/>
    <s v="Low (&lt;3K)"/>
    <s v="Normal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n v="0"/>
    <x v="2"/>
    <x v="1"/>
    <s v="Mid (3K-7K)"/>
    <s v="Normal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n v="1"/>
    <x v="1"/>
    <x v="0"/>
    <s v="High (7K-12K)"/>
    <s v="Normal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n v="0"/>
    <x v="0"/>
    <x v="1"/>
    <s v="Very High (12K+)"/>
    <s v="Normal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n v="0"/>
    <x v="1"/>
    <x v="1"/>
    <s v="Mid (3K-7K)"/>
    <s v="Normal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n v="0"/>
    <x v="2"/>
    <x v="1"/>
    <s v="Mid (3K-7K)"/>
    <s v="High Risk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n v="0"/>
    <x v="1"/>
    <x v="1"/>
    <s v="High (7K-12K)"/>
    <s v="High Risk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n v="0"/>
    <x v="2"/>
    <x v="1"/>
    <s v="Mid (3K-7K)"/>
    <s v="Normal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n v="0"/>
    <x v="1"/>
    <x v="3"/>
    <s v="Very High (12K+)"/>
    <s v="Normal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n v="0"/>
    <x v="4"/>
    <x v="3"/>
    <s v="Mid (3K-7K)"/>
    <s v="Normal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n v="0"/>
    <x v="2"/>
    <x v="0"/>
    <s v="Mid (3K-7K)"/>
    <s v="Normal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n v="0"/>
    <x v="3"/>
    <x v="1"/>
    <s v="Very High (12K+)"/>
    <s v="Normal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n v="0"/>
    <x v="0"/>
    <x v="3"/>
    <s v="Low (&lt;3K)"/>
    <s v="Normal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n v="1"/>
    <x v="0"/>
    <x v="3"/>
    <s v="Low (&lt;3K)"/>
    <s v="High Risk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n v="0"/>
    <x v="2"/>
    <x v="2"/>
    <s v="Low (&lt;3K)"/>
    <s v="Normal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n v="1"/>
    <x v="4"/>
    <x v="2"/>
    <s v="Low (&lt;3K)"/>
    <s v="Normal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n v="0"/>
    <x v="2"/>
    <x v="1"/>
    <s v="Mid (3K-7K)"/>
    <s v="Normal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n v="0"/>
    <x v="0"/>
    <x v="2"/>
    <s v="Mid (3K-7K)"/>
    <s v="Normal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n v="0"/>
    <x v="3"/>
    <x v="3"/>
    <s v="Very High (12K+)"/>
    <s v="Normal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n v="0"/>
    <x v="1"/>
    <x v="0"/>
    <s v="Very High (12K+)"/>
    <s v="High Risk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n v="1"/>
    <x v="2"/>
    <x v="0"/>
    <s v="Mid (3K-7K)"/>
    <s v="Normal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n v="0"/>
    <x v="2"/>
    <x v="3"/>
    <s v="Low (&lt;3K)"/>
    <s v="Normal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n v="0"/>
    <x v="4"/>
    <x v="2"/>
    <s v="Low (&lt;3K)"/>
    <s v="Normal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n v="0"/>
    <x v="1"/>
    <x v="1"/>
    <s v="High (7K-12K)"/>
    <s v="Normal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n v="1"/>
    <x v="2"/>
    <x v="0"/>
    <s v="Mid (3K-7K)"/>
    <s v="Normal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n v="0"/>
    <x v="1"/>
    <x v="0"/>
    <s v="Very High (12K+)"/>
    <s v="Normal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n v="0"/>
    <x v="4"/>
    <x v="0"/>
    <s v="Low (&lt;3K)"/>
    <s v="Normal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n v="0"/>
    <x v="2"/>
    <x v="2"/>
    <s v="Mid (3K-7K)"/>
    <s v="Normal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n v="0"/>
    <x v="0"/>
    <x v="0"/>
    <s v="High (7K-12K)"/>
    <s v="Normal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n v="0"/>
    <x v="2"/>
    <x v="1"/>
    <s v="High (7K-12K)"/>
    <s v="Normal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n v="0"/>
    <x v="0"/>
    <x v="0"/>
    <s v="High (7K-12K)"/>
    <s v="Normal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n v="0"/>
    <x v="0"/>
    <x v="2"/>
    <s v="Low (&lt;3K)"/>
    <s v="Normal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n v="0"/>
    <x v="0"/>
    <x v="1"/>
    <s v="Very High (12K+)"/>
    <s v="Normal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n v="0"/>
    <x v="2"/>
    <x v="1"/>
    <s v="Low (&lt;3K)"/>
    <s v="Normal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n v="0"/>
    <x v="2"/>
    <x v="0"/>
    <s v="Mid (3K-7K)"/>
    <s v="Normal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n v="1"/>
    <x v="3"/>
    <x v="0"/>
    <s v="Mid (3K-7K)"/>
    <s v="High Risk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n v="0"/>
    <x v="1"/>
    <x v="1"/>
    <s v="Very High (12K+)"/>
    <s v="Normal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n v="1"/>
    <x v="2"/>
    <x v="0"/>
    <s v="Mid (3K-7K)"/>
    <s v="Normal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n v="0"/>
    <x v="2"/>
    <x v="0"/>
    <s v="Low (&lt;3K)"/>
    <s v="Normal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n v="1"/>
    <x v="3"/>
    <x v="1"/>
    <s v="High (7K-12K)"/>
    <s v="Normal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n v="1"/>
    <x v="4"/>
    <x v="2"/>
    <s v="Low (&lt;3K)"/>
    <s v="Normal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n v="0"/>
    <x v="4"/>
    <x v="3"/>
    <s v="Low (&lt;3K)"/>
    <s v="Normal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n v="0"/>
    <x v="1"/>
    <x v="1"/>
    <s v="Mid (3K-7K)"/>
    <s v="Normal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n v="0"/>
    <x v="0"/>
    <x v="3"/>
    <s v="Mid (3K-7K)"/>
    <s v="Normal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n v="0"/>
    <x v="1"/>
    <x v="3"/>
    <s v="High (7K-12K)"/>
    <s v="Normal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n v="1"/>
    <x v="2"/>
    <x v="3"/>
    <s v="Mid (3K-7K)"/>
    <s v="Normal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n v="0"/>
    <x v="0"/>
    <x v="0"/>
    <s v="High (7K-12K)"/>
    <s v="Normal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n v="0"/>
    <x v="2"/>
    <x v="0"/>
    <s v="Low (&lt;3K)"/>
    <s v="Normal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n v="0"/>
    <x v="0"/>
    <x v="3"/>
    <s v="Mid (3K-7K)"/>
    <s v="Normal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n v="1"/>
    <x v="1"/>
    <x v="3"/>
    <s v="High (7K-12K)"/>
    <s v="Normal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n v="0"/>
    <x v="0"/>
    <x v="1"/>
    <s v="Mid (3K-7K)"/>
    <s v="Normal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n v="0"/>
    <x v="2"/>
    <x v="3"/>
    <s v="High (7K-12K)"/>
    <s v="Normal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n v="0"/>
    <x v="2"/>
    <x v="1"/>
    <s v="Mid (3K-7K)"/>
    <s v="Normal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n v="1"/>
    <x v="2"/>
    <x v="0"/>
    <s v="Mid (3K-7K)"/>
    <s v="Normal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n v="0"/>
    <x v="1"/>
    <x v="0"/>
    <s v="Mid (3K-7K)"/>
    <s v="Normal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n v="0"/>
    <x v="0"/>
    <x v="3"/>
    <s v="Mid (3K-7K)"/>
    <s v="Normal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n v="0"/>
    <x v="2"/>
    <x v="0"/>
    <s v="Low (&lt;3K)"/>
    <s v="Normal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n v="0"/>
    <x v="2"/>
    <x v="0"/>
    <s v="Mid (3K-7K)"/>
    <s v="Normal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n v="0"/>
    <x v="2"/>
    <x v="3"/>
    <s v="Mid (3K-7K)"/>
    <s v="Normal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n v="0"/>
    <x v="2"/>
    <x v="0"/>
    <s v="Low (&lt;3K)"/>
    <s v="Normal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n v="0"/>
    <x v="0"/>
    <x v="0"/>
    <s v="Very High (12K+)"/>
    <s v="Normal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n v="0"/>
    <x v="0"/>
    <x v="0"/>
    <s v="Low (&lt;3K)"/>
    <s v="Normal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n v="0"/>
    <x v="4"/>
    <x v="2"/>
    <s v="Low (&lt;3K)"/>
    <s v="Normal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n v="0"/>
    <x v="0"/>
    <x v="1"/>
    <s v="Mid (3K-7K)"/>
    <s v="Normal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n v="0"/>
    <x v="0"/>
    <x v="1"/>
    <s v="High (7K-12K)"/>
    <s v="Normal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n v="0"/>
    <x v="1"/>
    <x v="0"/>
    <s v="Low (&lt;3K)"/>
    <s v="Normal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n v="0"/>
    <x v="1"/>
    <x v="1"/>
    <s v="Low (&lt;3K)"/>
    <s v="Normal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n v="0"/>
    <x v="2"/>
    <x v="0"/>
    <s v="High (7K-12K)"/>
    <s v="Normal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n v="0"/>
    <x v="2"/>
    <x v="1"/>
    <s v="Mid (3K-7K)"/>
    <s v="Normal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n v="0"/>
    <x v="1"/>
    <x v="2"/>
    <s v="Mid (3K-7K)"/>
    <s v="Normal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n v="0"/>
    <x v="3"/>
    <x v="2"/>
    <s v="Mid (3K-7K)"/>
    <s v="High Risk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n v="0"/>
    <x v="0"/>
    <x v="1"/>
    <s v="High (7K-12K)"/>
    <s v="Normal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n v="0"/>
    <x v="2"/>
    <x v="3"/>
    <s v="Low (&lt;3K)"/>
    <s v="Normal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n v="0"/>
    <x v="4"/>
    <x v="3"/>
    <s v="Low (&lt;3K)"/>
    <s v="Normal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n v="0"/>
    <x v="2"/>
    <x v="3"/>
    <s v="Low (&lt;3K)"/>
    <s v="Normal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n v="0"/>
    <x v="2"/>
    <x v="0"/>
    <s v="Low (&lt;3K)"/>
    <s v="Normal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n v="0"/>
    <x v="3"/>
    <x v="0"/>
    <s v="High (7K-12K)"/>
    <s v="Normal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n v="0"/>
    <x v="2"/>
    <x v="2"/>
    <s v="Low (&lt;3K)"/>
    <s v="Normal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n v="0"/>
    <x v="1"/>
    <x v="0"/>
    <s v="Very High (12K+)"/>
    <s v="Normal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n v="0"/>
    <x v="0"/>
    <x v="0"/>
    <s v="Low (&lt;3K)"/>
    <s v="Normal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n v="0"/>
    <x v="2"/>
    <x v="1"/>
    <s v="High (7K-12K)"/>
    <s v="Normal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n v="0"/>
    <x v="0"/>
    <x v="0"/>
    <s v="High (7K-12K)"/>
    <s v="Normal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n v="0"/>
    <x v="2"/>
    <x v="0"/>
    <s v="Mid (3K-7K)"/>
    <s v="Normal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n v="0"/>
    <x v="2"/>
    <x v="0"/>
    <s v="Mid (3K-7K)"/>
    <s v="High Risk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n v="1"/>
    <x v="4"/>
    <x v="2"/>
    <s v="Low (&lt;3K)"/>
    <s v="Normal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n v="0"/>
    <x v="0"/>
    <x v="0"/>
    <s v="Low (&lt;3K)"/>
    <s v="Normal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n v="0"/>
    <x v="2"/>
    <x v="1"/>
    <s v="Mid (3K-7K)"/>
    <s v="Normal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n v="0"/>
    <x v="1"/>
    <x v="0"/>
    <s v="Mid (3K-7K)"/>
    <s v="High Risk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n v="0"/>
    <x v="3"/>
    <x v="3"/>
    <s v="Mid (3K-7K)"/>
    <s v="High Risk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n v="0"/>
    <x v="2"/>
    <x v="3"/>
    <s v="Low (&lt;3K)"/>
    <s v="Normal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n v="1"/>
    <x v="4"/>
    <x v="2"/>
    <s v="Low (&lt;3K)"/>
    <s v="Normal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n v="0"/>
    <x v="1"/>
    <x v="1"/>
    <s v="High (7K-12K)"/>
    <s v="Normal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n v="0"/>
    <x v="0"/>
    <x v="3"/>
    <s v="Low (&lt;3K)"/>
    <s v="Normal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n v="0"/>
    <x v="2"/>
    <x v="3"/>
    <s v="Mid (3K-7K)"/>
    <s v="Normal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n v="0"/>
    <x v="2"/>
    <x v="3"/>
    <s v="Low (&lt;3K)"/>
    <s v="Normal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n v="1"/>
    <x v="0"/>
    <x v="3"/>
    <s v="Mid (3K-7K)"/>
    <s v="High Risk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n v="0"/>
    <x v="1"/>
    <x v="3"/>
    <s v="Mid (3K-7K)"/>
    <s v="Normal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n v="0"/>
    <x v="1"/>
    <x v="3"/>
    <s v="Mid (3K-7K)"/>
    <s v="Normal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n v="0"/>
    <x v="2"/>
    <x v="0"/>
    <s v="Low (&lt;3K)"/>
    <s v="Normal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n v="0"/>
    <x v="0"/>
    <x v="1"/>
    <s v="Very High (12K+)"/>
    <s v="Normal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n v="0"/>
    <x v="3"/>
    <x v="1"/>
    <s v="Very High (12K+)"/>
    <s v="Normal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n v="0"/>
    <x v="2"/>
    <x v="1"/>
    <s v="High (7K-12K)"/>
    <s v="Normal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n v="0"/>
    <x v="1"/>
    <x v="0"/>
    <s v="Very High (12K+)"/>
    <s v="Normal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n v="0"/>
    <x v="1"/>
    <x v="1"/>
    <s v="Very High (12K+)"/>
    <s v="Normal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n v="0"/>
    <x v="2"/>
    <x v="0"/>
    <s v="Low (&lt;3K)"/>
    <s v="Normal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n v="1"/>
    <x v="0"/>
    <x v="2"/>
    <s v="Mid (3K-7K)"/>
    <s v="Normal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n v="0"/>
    <x v="0"/>
    <x v="0"/>
    <s v="Low (&lt;3K)"/>
    <s v="Normal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n v="0"/>
    <x v="1"/>
    <x v="1"/>
    <s v="Very High (12K+)"/>
    <s v="Normal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n v="0"/>
    <x v="0"/>
    <x v="0"/>
    <s v="Mid (3K-7K)"/>
    <s v="High Risk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n v="0"/>
    <x v="0"/>
    <x v="0"/>
    <s v="Mid (3K-7K)"/>
    <s v="Normal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n v="0"/>
    <x v="0"/>
    <x v="0"/>
    <s v="Mid (3K-7K)"/>
    <s v="Normal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n v="0"/>
    <x v="0"/>
    <x v="2"/>
    <s v="Mid (3K-7K)"/>
    <s v="Normal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n v="0"/>
    <x v="0"/>
    <x v="0"/>
    <s v="Mid (3K-7K)"/>
    <s v="Normal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n v="0"/>
    <x v="2"/>
    <x v="3"/>
    <s v="Mid (3K-7K)"/>
    <s v="Normal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n v="0"/>
    <x v="1"/>
    <x v="0"/>
    <s v="Mid (3K-7K)"/>
    <s v="Normal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n v="0"/>
    <x v="2"/>
    <x v="0"/>
    <s v="Mid (3K-7K)"/>
    <s v="Normal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n v="0"/>
    <x v="0"/>
    <x v="0"/>
    <s v="Low (&lt;3K)"/>
    <s v="Normal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n v="1"/>
    <x v="0"/>
    <x v="2"/>
    <s v="Mid (3K-7K)"/>
    <s v="High Risk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n v="1"/>
    <x v="2"/>
    <x v="1"/>
    <s v="High (7K-12K)"/>
    <s v="Normal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n v="0"/>
    <x v="4"/>
    <x v="3"/>
    <s v="Low (&lt;3K)"/>
    <s v="High Risk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n v="0"/>
    <x v="0"/>
    <x v="0"/>
    <s v="Low (&lt;3K)"/>
    <s v="Normal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n v="0"/>
    <x v="0"/>
    <x v="3"/>
    <s v="Mid (3K-7K)"/>
    <s v="Normal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n v="0"/>
    <x v="1"/>
    <x v="3"/>
    <s v="High (7K-12K)"/>
    <s v="Normal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n v="1"/>
    <x v="2"/>
    <x v="1"/>
    <s v="High (7K-12K)"/>
    <s v="Normal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n v="0"/>
    <x v="2"/>
    <x v="1"/>
    <s v="High (7K-12K)"/>
    <s v="Normal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n v="0"/>
    <x v="2"/>
    <x v="0"/>
    <s v="High (7K-12K)"/>
    <s v="Normal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n v="0"/>
    <x v="1"/>
    <x v="1"/>
    <s v="Very High (12K+)"/>
    <s v="Normal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n v="1"/>
    <x v="2"/>
    <x v="0"/>
    <s v="Low (&lt;3K)"/>
    <s v="High Risk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n v="0"/>
    <x v="0"/>
    <x v="2"/>
    <s v="Very High (12K+)"/>
    <s v="Normal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n v="1"/>
    <x v="2"/>
    <x v="0"/>
    <s v="Mid (3K-7K)"/>
    <s v="Normal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n v="1"/>
    <x v="2"/>
    <x v="0"/>
    <s v="Low (&lt;3K)"/>
    <s v="Normal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n v="0"/>
    <x v="1"/>
    <x v="1"/>
    <s v="High (7K-12K)"/>
    <s v="Normal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n v="0"/>
    <x v="1"/>
    <x v="0"/>
    <s v="Mid (3K-7K)"/>
    <s v="Normal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n v="0"/>
    <x v="0"/>
    <x v="1"/>
    <s v="Mid (3K-7K)"/>
    <s v="Normal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n v="0"/>
    <x v="2"/>
    <x v="3"/>
    <s v="Low (&lt;3K)"/>
    <s v="Normal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n v="0"/>
    <x v="0"/>
    <x v="1"/>
    <s v="Very High (12K+)"/>
    <s v="Normal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n v="0"/>
    <x v="0"/>
    <x v="1"/>
    <s v="High (7K-12K)"/>
    <s v="Normal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n v="0"/>
    <x v="2"/>
    <x v="0"/>
    <s v="Mid (3K-7K)"/>
    <s v="Normal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n v="0"/>
    <x v="3"/>
    <x v="2"/>
    <s v="Low (&lt;3K)"/>
    <s v="Normal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n v="0"/>
    <x v="0"/>
    <x v="0"/>
    <s v="Low (&lt;3K)"/>
    <s v="Normal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n v="0"/>
    <x v="2"/>
    <x v="1"/>
    <s v="High (7K-12K)"/>
    <s v="Normal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n v="0"/>
    <x v="0"/>
    <x v="1"/>
    <s v="High (7K-12K)"/>
    <s v="Normal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n v="1"/>
    <x v="2"/>
    <x v="3"/>
    <s v="Low (&lt;3K)"/>
    <s v="Normal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n v="0"/>
    <x v="1"/>
    <x v="3"/>
    <s v="Mid (3K-7K)"/>
    <s v="Normal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n v="0"/>
    <x v="0"/>
    <x v="1"/>
    <s v="Very High (12K+)"/>
    <s v="Normal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n v="0"/>
    <x v="3"/>
    <x v="3"/>
    <s v="Low (&lt;3K)"/>
    <s v="Normal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n v="0"/>
    <x v="1"/>
    <x v="0"/>
    <s v="Very High (12K+)"/>
    <s v="Normal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n v="1"/>
    <x v="2"/>
    <x v="0"/>
    <s v="Low (&lt;3K)"/>
    <s v="Normal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n v="0"/>
    <x v="0"/>
    <x v="1"/>
    <s v="Very High (12K+)"/>
    <s v="Normal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n v="1"/>
    <x v="2"/>
    <x v="0"/>
    <s v="Low (&lt;3K)"/>
    <s v="Normal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n v="0"/>
    <x v="1"/>
    <x v="1"/>
    <s v="Very High (12K+)"/>
    <s v="Normal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n v="0"/>
    <x v="2"/>
    <x v="3"/>
    <s v="Mid (3K-7K)"/>
    <s v="Normal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n v="1"/>
    <x v="2"/>
    <x v="3"/>
    <s v="Mid (3K-7K)"/>
    <s v="Normal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n v="0"/>
    <x v="0"/>
    <x v="3"/>
    <s v="Low (&lt;3K)"/>
    <s v="Normal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n v="0"/>
    <x v="2"/>
    <x v="3"/>
    <s v="Mid (3K-7K)"/>
    <s v="Normal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n v="0"/>
    <x v="0"/>
    <x v="2"/>
    <s v="Mid (3K-7K)"/>
    <s v="Normal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n v="0"/>
    <x v="0"/>
    <x v="0"/>
    <s v="Mid (3K-7K)"/>
    <s v="Normal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n v="0"/>
    <x v="1"/>
    <x v="1"/>
    <s v="Very High (12K+)"/>
    <s v="Normal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n v="0"/>
    <x v="2"/>
    <x v="3"/>
    <s v="Very High (12K+)"/>
    <s v="Normal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n v="0"/>
    <x v="2"/>
    <x v="3"/>
    <s v="Low (&lt;3K)"/>
    <s v="Normal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n v="0"/>
    <x v="2"/>
    <x v="1"/>
    <s v="Mid (3K-7K)"/>
    <s v="Normal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n v="0"/>
    <x v="0"/>
    <x v="3"/>
    <s v="Mid (3K-7K)"/>
    <s v="Normal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n v="0"/>
    <x v="1"/>
    <x v="3"/>
    <s v="Mid (3K-7K)"/>
    <s v="Normal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n v="1"/>
    <x v="0"/>
    <x v="2"/>
    <s v="High (7K-12K)"/>
    <s v="Normal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n v="0"/>
    <x v="0"/>
    <x v="1"/>
    <s v="High (7K-12K)"/>
    <s v="Normal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n v="0"/>
    <x v="2"/>
    <x v="0"/>
    <s v="Low (&lt;3K)"/>
    <s v="Normal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n v="0"/>
    <x v="0"/>
    <x v="3"/>
    <s v="Mid (3K-7K)"/>
    <s v="High Risk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n v="0"/>
    <x v="2"/>
    <x v="3"/>
    <s v="Mid (3K-7K)"/>
    <s v="Normal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n v="0"/>
    <x v="2"/>
    <x v="3"/>
    <s v="Mid (3K-7K)"/>
    <s v="Normal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n v="0"/>
    <x v="0"/>
    <x v="0"/>
    <s v="Low (&lt;3K)"/>
    <s v="High Risk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n v="0"/>
    <x v="0"/>
    <x v="1"/>
    <s v="Very High (12K+)"/>
    <s v="Normal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n v="0"/>
    <x v="1"/>
    <x v="2"/>
    <s v="Low (&lt;3K)"/>
    <s v="Normal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n v="1"/>
    <x v="2"/>
    <x v="0"/>
    <s v="Mid (3K-7K)"/>
    <s v="Normal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n v="0"/>
    <x v="2"/>
    <x v="0"/>
    <s v="Low (&lt;3K)"/>
    <s v="Normal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n v="0"/>
    <x v="0"/>
    <x v="0"/>
    <s v="Mid (3K-7K)"/>
    <s v="Normal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n v="0"/>
    <x v="2"/>
    <x v="0"/>
    <s v="Low (&lt;3K)"/>
    <s v="Normal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n v="0"/>
    <x v="1"/>
    <x v="0"/>
    <s v="Very High (12K+)"/>
    <s v="High Risk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n v="1"/>
    <x v="2"/>
    <x v="2"/>
    <s v="Mid (3K-7K)"/>
    <s v="Normal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n v="0"/>
    <x v="2"/>
    <x v="2"/>
    <s v="Mid (3K-7K)"/>
    <s v="Normal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n v="0"/>
    <x v="2"/>
    <x v="0"/>
    <s v="Mid (3K-7K)"/>
    <s v="Normal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n v="0"/>
    <x v="2"/>
    <x v="0"/>
    <s v="Mid (3K-7K)"/>
    <s v="Normal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n v="0"/>
    <x v="1"/>
    <x v="1"/>
    <s v="Very High (12K+)"/>
    <s v="Normal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n v="0"/>
    <x v="0"/>
    <x v="1"/>
    <s v="Mid (3K-7K)"/>
    <s v="Normal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n v="0"/>
    <x v="3"/>
    <x v="1"/>
    <s v="Very High (12K+)"/>
    <s v="High Risk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n v="1"/>
    <x v="1"/>
    <x v="1"/>
    <s v="High (7K-12K)"/>
    <s v="High Risk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n v="0"/>
    <x v="2"/>
    <x v="0"/>
    <s v="Low (&lt;3K)"/>
    <s v="Normal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n v="0"/>
    <x v="0"/>
    <x v="0"/>
    <s v="Mid (3K-7K)"/>
    <s v="Normal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n v="0"/>
    <x v="4"/>
    <x v="3"/>
    <s v="Mid (3K-7K)"/>
    <s v="Normal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n v="0"/>
    <x v="0"/>
    <x v="0"/>
    <s v="Very High (12K+)"/>
    <s v="Normal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n v="0"/>
    <x v="0"/>
    <x v="0"/>
    <s v="High (7K-12K)"/>
    <s v="Normal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n v="0"/>
    <x v="0"/>
    <x v="0"/>
    <s v="Mid (3K-7K)"/>
    <s v="High Risk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n v="0"/>
    <x v="2"/>
    <x v="0"/>
    <s v="Mid (3K-7K)"/>
    <s v="Normal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n v="0"/>
    <x v="1"/>
    <x v="1"/>
    <s v="Very High (12K+)"/>
    <s v="Normal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n v="0"/>
    <x v="1"/>
    <x v="0"/>
    <s v="Very High (12K+)"/>
    <s v="Normal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n v="0"/>
    <x v="0"/>
    <x v="1"/>
    <s v="Mid (3K-7K)"/>
    <s v="Normal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n v="0"/>
    <x v="2"/>
    <x v="1"/>
    <s v="Mid (3K-7K)"/>
    <s v="Normal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n v="0"/>
    <x v="3"/>
    <x v="1"/>
    <s v="Mid (3K-7K)"/>
    <s v="Normal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n v="0"/>
    <x v="2"/>
    <x v="0"/>
    <s v="Mid (3K-7K)"/>
    <s v="High Risk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n v="0"/>
    <x v="0"/>
    <x v="1"/>
    <s v="Low (&lt;3K)"/>
    <s v="Normal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n v="1"/>
    <x v="0"/>
    <x v="2"/>
    <s v="Mid (3K-7K)"/>
    <s v="Normal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n v="0"/>
    <x v="0"/>
    <x v="3"/>
    <s v="Mid (3K-7K)"/>
    <s v="Normal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n v="1"/>
    <x v="2"/>
    <x v="3"/>
    <s v="Low (&lt;3K)"/>
    <s v="High Risk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n v="0"/>
    <x v="2"/>
    <x v="0"/>
    <s v="Mid (3K-7K)"/>
    <s v="Normal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n v="0"/>
    <x v="1"/>
    <x v="3"/>
    <s v="Very High (12K+)"/>
    <s v="High Risk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n v="0"/>
    <x v="0"/>
    <x v="0"/>
    <s v="Mid (3K-7K)"/>
    <s v="Normal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n v="0"/>
    <x v="2"/>
    <x v="3"/>
    <s v="Low (&lt;3K)"/>
    <s v="Normal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n v="1"/>
    <x v="2"/>
    <x v="0"/>
    <s v="Mid (3K-7K)"/>
    <s v="Normal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n v="0"/>
    <x v="0"/>
    <x v="3"/>
    <s v="Low (&lt;3K)"/>
    <s v="Normal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n v="0"/>
    <x v="0"/>
    <x v="1"/>
    <s v="Very High (12K+)"/>
    <s v="Normal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n v="1"/>
    <x v="4"/>
    <x v="2"/>
    <s v="Low (&lt;3K)"/>
    <s v="Normal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n v="0"/>
    <x v="0"/>
    <x v="1"/>
    <s v="High (7K-12K)"/>
    <s v="Normal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n v="0"/>
    <x v="0"/>
    <x v="2"/>
    <s v="Mid (3K-7K)"/>
    <s v="Normal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n v="0"/>
    <x v="1"/>
    <x v="3"/>
    <s v="Mid (3K-7K)"/>
    <s v="Normal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n v="0"/>
    <x v="0"/>
    <x v="1"/>
    <s v="Very High (12K+)"/>
    <s v="Normal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n v="0"/>
    <x v="4"/>
    <x v="2"/>
    <s v="Low (&lt;3K)"/>
    <s v="Normal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n v="0"/>
    <x v="2"/>
    <x v="0"/>
    <s v="Mid (3K-7K)"/>
    <s v="Normal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n v="0"/>
    <x v="2"/>
    <x v="0"/>
    <s v="Mid (3K-7K)"/>
    <s v="Normal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n v="0"/>
    <x v="0"/>
    <x v="1"/>
    <s v="High (7K-12K)"/>
    <s v="Normal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n v="0"/>
    <x v="0"/>
    <x v="0"/>
    <s v="Mid (3K-7K)"/>
    <s v="Normal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n v="0"/>
    <x v="2"/>
    <x v="1"/>
    <s v="Mid (3K-7K)"/>
    <s v="Normal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n v="0"/>
    <x v="0"/>
    <x v="1"/>
    <s v="Very High (12K+)"/>
    <s v="Normal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n v="0"/>
    <x v="3"/>
    <x v="0"/>
    <s v="Mid (3K-7K)"/>
    <s v="Normal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n v="0"/>
    <x v="2"/>
    <x v="0"/>
    <s v="Mid (3K-7K)"/>
    <s v="Normal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n v="0"/>
    <x v="2"/>
    <x v="3"/>
    <s v="Mid (3K-7K)"/>
    <s v="Normal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n v="0"/>
    <x v="1"/>
    <x v="1"/>
    <s v="Mid (3K-7K)"/>
    <s v="Normal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n v="0"/>
    <x v="2"/>
    <x v="3"/>
    <s v="Low (&lt;3K)"/>
    <s v="Normal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n v="0"/>
    <x v="2"/>
    <x v="1"/>
    <s v="High (7K-12K)"/>
    <s v="Normal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n v="0"/>
    <x v="0"/>
    <x v="1"/>
    <s v="Very High (12K+)"/>
    <s v="High Risk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n v="0"/>
    <x v="0"/>
    <x v="0"/>
    <s v="Low (&lt;3K)"/>
    <s v="Normal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n v="0"/>
    <x v="1"/>
    <x v="0"/>
    <s v="Very High (12K+)"/>
    <s v="Normal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n v="1"/>
    <x v="1"/>
    <x v="0"/>
    <s v="Mid (3K-7K)"/>
    <s v="Normal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n v="0"/>
    <x v="2"/>
    <x v="3"/>
    <s v="Low (&lt;3K)"/>
    <s v="High Risk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n v="0"/>
    <x v="2"/>
    <x v="1"/>
    <s v="Mid (3K-7K)"/>
    <s v="High Risk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n v="0"/>
    <x v="2"/>
    <x v="0"/>
    <s v="Mid (3K-7K)"/>
    <s v="Normal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n v="0"/>
    <x v="2"/>
    <x v="0"/>
    <s v="High (7K-12K)"/>
    <s v="Normal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n v="0"/>
    <x v="2"/>
    <x v="0"/>
    <s v="Mid (3K-7K)"/>
    <s v="Normal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n v="1"/>
    <x v="2"/>
    <x v="3"/>
    <s v="Mid (3K-7K)"/>
    <s v="Normal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n v="0"/>
    <x v="2"/>
    <x v="1"/>
    <s v="Mid (3K-7K)"/>
    <s v="Normal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n v="0"/>
    <x v="2"/>
    <x v="1"/>
    <s v="High (7K-12K)"/>
    <s v="Normal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n v="0"/>
    <x v="0"/>
    <x v="1"/>
    <s v="Very High (12K+)"/>
    <s v="Normal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n v="1"/>
    <x v="0"/>
    <x v="2"/>
    <s v="Mid (3K-7K)"/>
    <s v="Normal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n v="0"/>
    <x v="2"/>
    <x v="0"/>
    <s v="Mid (3K-7K)"/>
    <s v="Normal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n v="0"/>
    <x v="1"/>
    <x v="3"/>
    <s v="Very High (12K+)"/>
    <s v="Normal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n v="0"/>
    <x v="0"/>
    <x v="0"/>
    <s v="Mid (3K-7K)"/>
    <s v="Normal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n v="0"/>
    <x v="2"/>
    <x v="0"/>
    <s v="Mid (3K-7K)"/>
    <s v="High Risk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n v="0"/>
    <x v="1"/>
    <x v="3"/>
    <s v="Mid (3K-7K)"/>
    <s v="Normal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n v="0"/>
    <x v="0"/>
    <x v="2"/>
    <s v="High (7K-12K)"/>
    <s v="Normal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n v="0"/>
    <x v="1"/>
    <x v="1"/>
    <s v="Mid (3K-7K)"/>
    <s v="Normal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n v="0"/>
    <x v="0"/>
    <x v="3"/>
    <s v="High (7K-12K)"/>
    <s v="Normal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n v="1"/>
    <x v="2"/>
    <x v="0"/>
    <s v="Low (&lt;3K)"/>
    <s v="High Risk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n v="0"/>
    <x v="2"/>
    <x v="3"/>
    <s v="Mid (3K-7K)"/>
    <s v="Normal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n v="0"/>
    <x v="2"/>
    <x v="1"/>
    <s v="Mid (3K-7K)"/>
    <s v="Normal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n v="0"/>
    <x v="2"/>
    <x v="0"/>
    <s v="Mid (3K-7K)"/>
    <s v="Normal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n v="0"/>
    <x v="0"/>
    <x v="0"/>
    <s v="Mid (3K-7K)"/>
    <s v="Normal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n v="0"/>
    <x v="0"/>
    <x v="1"/>
    <s v="High (7K-12K)"/>
    <s v="Normal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n v="0"/>
    <x v="2"/>
    <x v="1"/>
    <s v="High (7K-12K)"/>
    <s v="Normal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n v="0"/>
    <x v="2"/>
    <x v="0"/>
    <s v="High (7K-12K)"/>
    <s v="High Risk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n v="0"/>
    <x v="0"/>
    <x v="1"/>
    <s v="High (7K-12K)"/>
    <s v="Normal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n v="0"/>
    <x v="4"/>
    <x v="3"/>
    <s v="Low (&lt;3K)"/>
    <s v="Normal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n v="0"/>
    <x v="0"/>
    <x v="0"/>
    <s v="Mid (3K-7K)"/>
    <s v="High Risk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n v="0"/>
    <x v="1"/>
    <x v="2"/>
    <s v="Low (&lt;3K)"/>
    <s v="Normal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n v="0"/>
    <x v="0"/>
    <x v="2"/>
    <s v="Very High (12K+)"/>
    <s v="Normal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n v="0"/>
    <x v="2"/>
    <x v="3"/>
    <s v="Mid (3K-7K)"/>
    <s v="Normal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n v="0"/>
    <x v="0"/>
    <x v="3"/>
    <s v="Low (&lt;3K)"/>
    <s v="Normal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n v="0"/>
    <x v="2"/>
    <x v="0"/>
    <s v="Low (&lt;3K)"/>
    <s v="Normal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n v="0"/>
    <x v="1"/>
    <x v="2"/>
    <s v="Very High (12K+)"/>
    <s v="Normal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n v="0"/>
    <x v="0"/>
    <x v="0"/>
    <s v="Mid (3K-7K)"/>
    <s v="High Risk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n v="0"/>
    <x v="2"/>
    <x v="3"/>
    <s v="Mid (3K-7K)"/>
    <s v="Normal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n v="0"/>
    <x v="2"/>
    <x v="0"/>
    <s v="Mid (3K-7K)"/>
    <s v="Normal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n v="0"/>
    <x v="0"/>
    <x v="2"/>
    <s v="Mid (3K-7K)"/>
    <s v="Normal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n v="1"/>
    <x v="4"/>
    <x v="3"/>
    <s v="Low (&lt;3K)"/>
    <s v="High Risk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n v="0"/>
    <x v="0"/>
    <x v="2"/>
    <s v="Mid (3K-7K)"/>
    <s v="Normal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n v="0"/>
    <x v="0"/>
    <x v="1"/>
    <s v="High (7K-12K)"/>
    <s v="Normal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n v="0"/>
    <x v="3"/>
    <x v="3"/>
    <s v="Mid (3K-7K)"/>
    <s v="Normal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n v="0"/>
    <x v="0"/>
    <x v="0"/>
    <s v="Low (&lt;3K)"/>
    <s v="Normal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n v="0"/>
    <x v="4"/>
    <x v="3"/>
    <s v="Low (&lt;3K)"/>
    <s v="Normal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n v="1"/>
    <x v="2"/>
    <x v="2"/>
    <s v="Low (&lt;3K)"/>
    <s v="Normal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n v="0"/>
    <x v="0"/>
    <x v="0"/>
    <s v="Mid (3K-7K)"/>
    <s v="Normal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n v="0"/>
    <x v="1"/>
    <x v="2"/>
    <s v="Mid (3K-7K)"/>
    <s v="Normal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n v="1"/>
    <x v="0"/>
    <x v="0"/>
    <s v="High (7K-12K)"/>
    <s v="Normal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n v="0"/>
    <x v="1"/>
    <x v="3"/>
    <s v="High (7K-12K)"/>
    <s v="Normal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n v="1"/>
    <x v="0"/>
    <x v="0"/>
    <s v="Mid (3K-7K)"/>
    <s v="Normal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n v="0"/>
    <x v="2"/>
    <x v="3"/>
    <s v="Low (&lt;3K)"/>
    <s v="High Risk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n v="1"/>
    <x v="4"/>
    <x v="2"/>
    <s v="Low (&lt;3K)"/>
    <s v="Normal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n v="0"/>
    <x v="2"/>
    <x v="3"/>
    <s v="Low (&lt;3K)"/>
    <s v="Normal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n v="0"/>
    <x v="0"/>
    <x v="2"/>
    <s v="Mid (3K-7K)"/>
    <s v="Normal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n v="0"/>
    <x v="2"/>
    <x v="0"/>
    <s v="Mid (3K-7K)"/>
    <s v="Normal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n v="0"/>
    <x v="2"/>
    <x v="0"/>
    <s v="Mid (3K-7K)"/>
    <s v="Normal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n v="0"/>
    <x v="1"/>
    <x v="0"/>
    <s v="High (7K-12K)"/>
    <s v="Normal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n v="0"/>
    <x v="1"/>
    <x v="0"/>
    <s v="Mid (3K-7K)"/>
    <s v="Normal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n v="0"/>
    <x v="0"/>
    <x v="3"/>
    <s v="Low (&lt;3K)"/>
    <s v="Normal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n v="1"/>
    <x v="2"/>
    <x v="0"/>
    <s v="Mid (3K-7K)"/>
    <s v="Normal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n v="0"/>
    <x v="3"/>
    <x v="0"/>
    <s v="Very High (12K+)"/>
    <s v="Normal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n v="0"/>
    <x v="4"/>
    <x v="0"/>
    <s v="Mid (3K-7K)"/>
    <s v="Normal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n v="0"/>
    <x v="2"/>
    <x v="2"/>
    <s v="Low (&lt;3K)"/>
    <s v="Normal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n v="1"/>
    <x v="2"/>
    <x v="0"/>
    <s v="Mid (3K-7K)"/>
    <s v="Normal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n v="0"/>
    <x v="4"/>
    <x v="3"/>
    <s v="Low (&lt;3K)"/>
    <s v="Normal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n v="0"/>
    <x v="0"/>
    <x v="1"/>
    <s v="High (7K-12K)"/>
    <s v="Normal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n v="1"/>
    <x v="2"/>
    <x v="2"/>
    <s v="Low (&lt;3K)"/>
    <s v="Normal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n v="0"/>
    <x v="0"/>
    <x v="1"/>
    <s v="Mid (3K-7K)"/>
    <s v="Normal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n v="0"/>
    <x v="0"/>
    <x v="0"/>
    <s v="Mid (3K-7K)"/>
    <s v="Normal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n v="0"/>
    <x v="0"/>
    <x v="0"/>
    <s v="Low (&lt;3K)"/>
    <s v="Normal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n v="0"/>
    <x v="0"/>
    <x v="2"/>
    <s v="Mid (3K-7K)"/>
    <s v="High Risk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n v="0"/>
    <x v="0"/>
    <x v="1"/>
    <s v="Very High (12K+)"/>
    <s v="Normal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n v="0"/>
    <x v="0"/>
    <x v="2"/>
    <s v="Mid (3K-7K)"/>
    <s v="Normal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n v="0"/>
    <x v="1"/>
    <x v="3"/>
    <s v="Very High (12K+)"/>
    <s v="Normal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n v="0"/>
    <x v="2"/>
    <x v="3"/>
    <s v="Mid (3K-7K)"/>
    <s v="Normal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n v="0"/>
    <x v="2"/>
    <x v="1"/>
    <s v="Mid (3K-7K)"/>
    <s v="Normal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n v="0"/>
    <x v="0"/>
    <x v="3"/>
    <s v="Low (&lt;3K)"/>
    <s v="Normal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n v="0"/>
    <x v="0"/>
    <x v="0"/>
    <s v="Mid (3K-7K)"/>
    <s v="Normal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n v="0"/>
    <x v="2"/>
    <x v="0"/>
    <s v="Mid (3K-7K)"/>
    <s v="Normal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n v="0"/>
    <x v="0"/>
    <x v="1"/>
    <s v="Mid (3K-7K)"/>
    <s v="Normal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n v="0"/>
    <x v="2"/>
    <x v="3"/>
    <s v="Low (&lt;3K)"/>
    <s v="Normal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n v="0"/>
    <x v="0"/>
    <x v="1"/>
    <s v="Very High (12K+)"/>
    <s v="Normal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n v="0"/>
    <x v="3"/>
    <x v="0"/>
    <s v="Very High (12K+)"/>
    <s v="Normal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n v="0"/>
    <x v="2"/>
    <x v="0"/>
    <s v="Mid (3K-7K)"/>
    <s v="Normal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n v="0"/>
    <x v="0"/>
    <x v="1"/>
    <s v="High (7K-12K)"/>
    <s v="Normal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n v="0"/>
    <x v="2"/>
    <x v="1"/>
    <s v="Mid (3K-7K)"/>
    <s v="Normal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n v="1"/>
    <x v="2"/>
    <x v="3"/>
    <s v="Mid (3K-7K)"/>
    <s v="Normal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n v="0"/>
    <x v="1"/>
    <x v="0"/>
    <s v="High (7K-12K)"/>
    <s v="Normal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n v="0"/>
    <x v="1"/>
    <x v="3"/>
    <s v="Low (&lt;3K)"/>
    <s v="Normal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n v="0"/>
    <x v="1"/>
    <x v="0"/>
    <s v="Very High (12K+)"/>
    <s v="Normal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n v="0"/>
    <x v="0"/>
    <x v="0"/>
    <s v="Mid (3K-7K)"/>
    <s v="Normal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n v="0"/>
    <x v="2"/>
    <x v="0"/>
    <s v="Mid (3K-7K)"/>
    <s v="Normal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n v="0"/>
    <x v="3"/>
    <x v="1"/>
    <s v="Very High (12K+)"/>
    <s v="Normal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n v="0"/>
    <x v="1"/>
    <x v="1"/>
    <s v="Mid (3K-7K)"/>
    <s v="Normal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n v="0"/>
    <x v="0"/>
    <x v="0"/>
    <s v="Mid (3K-7K)"/>
    <s v="Normal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n v="1"/>
    <x v="4"/>
    <x v="0"/>
    <s v="Mid (3K-7K)"/>
    <s v="High Risk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n v="1"/>
    <x v="2"/>
    <x v="3"/>
    <s v="Low (&lt;3K)"/>
    <s v="Normal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n v="0"/>
    <x v="0"/>
    <x v="2"/>
    <s v="Low (&lt;3K)"/>
    <s v="Normal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n v="0"/>
    <x v="0"/>
    <x v="1"/>
    <s v="Very High (12K+)"/>
    <s v="Normal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n v="0"/>
    <x v="2"/>
    <x v="3"/>
    <s v="Low (&lt;3K)"/>
    <s v="Normal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n v="0"/>
    <x v="2"/>
    <x v="0"/>
    <s v="Low (&lt;3K)"/>
    <s v="Normal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n v="0"/>
    <x v="2"/>
    <x v="1"/>
    <s v="High (7K-12K)"/>
    <s v="Normal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n v="1"/>
    <x v="2"/>
    <x v="3"/>
    <s v="Low (&lt;3K)"/>
    <s v="Normal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n v="1"/>
    <x v="4"/>
    <x v="2"/>
    <s v="Low (&lt;3K)"/>
    <s v="Normal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n v="0"/>
    <x v="2"/>
    <x v="0"/>
    <s v="High (7K-12K)"/>
    <s v="Normal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n v="0"/>
    <x v="3"/>
    <x v="2"/>
    <s v="Very High (12K+)"/>
    <s v="Normal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n v="0"/>
    <x v="1"/>
    <x v="1"/>
    <s v="Very High (12K+)"/>
    <s v="Normal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n v="0"/>
    <x v="2"/>
    <x v="1"/>
    <s v="Low (&lt;3K)"/>
    <s v="Normal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n v="0"/>
    <x v="3"/>
    <x v="1"/>
    <s v="High (7K-12K)"/>
    <s v="Normal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n v="0"/>
    <x v="1"/>
    <x v="0"/>
    <s v="Mid (3K-7K)"/>
    <s v="Normal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n v="0"/>
    <x v="1"/>
    <x v="3"/>
    <s v="Very High (12K+)"/>
    <s v="Normal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n v="0"/>
    <x v="0"/>
    <x v="0"/>
    <s v="Mid (3K-7K)"/>
    <s v="Normal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n v="0"/>
    <x v="1"/>
    <x v="2"/>
    <s v="Mid (3K-7K)"/>
    <s v="Normal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n v="0"/>
    <x v="2"/>
    <x v="0"/>
    <s v="Low (&lt;3K)"/>
    <s v="Normal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n v="0"/>
    <x v="1"/>
    <x v="3"/>
    <s v="High (7K-12K)"/>
    <s v="Normal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n v="0"/>
    <x v="2"/>
    <x v="1"/>
    <s v="High (7K-12K)"/>
    <s v="Normal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n v="1"/>
    <x v="2"/>
    <x v="0"/>
    <s v="Very High (12K+)"/>
    <s v="Normal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n v="1"/>
    <x v="2"/>
    <x v="3"/>
    <s v="Mid (3K-7K)"/>
    <s v="Normal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n v="0"/>
    <x v="2"/>
    <x v="3"/>
    <s v="Low (&lt;3K)"/>
    <s v="Normal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n v="0"/>
    <x v="0"/>
    <x v="0"/>
    <s v="High (7K-12K)"/>
    <s v="Normal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n v="1"/>
    <x v="2"/>
    <x v="2"/>
    <s v="High (7K-12K)"/>
    <s v="Normal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n v="1"/>
    <x v="2"/>
    <x v="3"/>
    <s v="High (7K-12K)"/>
    <s v="High Risk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n v="0"/>
    <x v="0"/>
    <x v="3"/>
    <s v="Low (&lt;3K)"/>
    <s v="Normal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n v="0"/>
    <x v="0"/>
    <x v="1"/>
    <s v="High (7K-12K)"/>
    <s v="Normal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n v="1"/>
    <x v="4"/>
    <x v="3"/>
    <s v="Mid (3K-7K)"/>
    <s v="Normal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n v="0"/>
    <x v="1"/>
    <x v="0"/>
    <s v="Mid (3K-7K)"/>
    <s v="Normal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n v="0"/>
    <x v="3"/>
    <x v="1"/>
    <s v="Very High (12K+)"/>
    <s v="Normal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n v="0"/>
    <x v="0"/>
    <x v="1"/>
    <s v="Mid (3K-7K)"/>
    <s v="Normal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n v="0"/>
    <x v="0"/>
    <x v="1"/>
    <s v="Mid (3K-7K)"/>
    <s v="Normal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n v="0"/>
    <x v="0"/>
    <x v="1"/>
    <s v="Very High (12K+)"/>
    <s v="Normal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n v="0"/>
    <x v="0"/>
    <x v="0"/>
    <s v="Mid (3K-7K)"/>
    <s v="Normal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n v="0"/>
    <x v="2"/>
    <x v="0"/>
    <s v="Mid (3K-7K)"/>
    <s v="Normal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n v="0"/>
    <x v="0"/>
    <x v="1"/>
    <s v="High (7K-12K)"/>
    <s v="High Risk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n v="0"/>
    <x v="1"/>
    <x v="0"/>
    <s v="Mid (3K-7K)"/>
    <s v="Normal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n v="1"/>
    <x v="2"/>
    <x v="0"/>
    <s v="Low (&lt;3K)"/>
    <s v="Normal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n v="0"/>
    <x v="2"/>
    <x v="3"/>
    <s v="Mid (3K-7K)"/>
    <s v="Normal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n v="0"/>
    <x v="2"/>
    <x v="0"/>
    <s v="Very High (12K+)"/>
    <s v="Normal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n v="0"/>
    <x v="2"/>
    <x v="0"/>
    <s v="High (7K-12K)"/>
    <s v="Normal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n v="1"/>
    <x v="4"/>
    <x v="2"/>
    <s v="Low (&lt;3K)"/>
    <s v="High Risk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n v="0"/>
    <x v="0"/>
    <x v="2"/>
    <s v="High (7K-12K)"/>
    <s v="Normal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n v="0"/>
    <x v="0"/>
    <x v="0"/>
    <s v="Mid (3K-7K)"/>
    <s v="Normal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n v="0"/>
    <x v="2"/>
    <x v="2"/>
    <s v="Mid (3K-7K)"/>
    <s v="Normal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n v="0"/>
    <x v="0"/>
    <x v="0"/>
    <s v="Mid (3K-7K)"/>
    <s v="Normal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n v="0"/>
    <x v="2"/>
    <x v="1"/>
    <s v="Mid (3K-7K)"/>
    <s v="Normal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n v="1"/>
    <x v="2"/>
    <x v="2"/>
    <s v="Low (&lt;3K)"/>
    <s v="Normal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n v="0"/>
    <x v="0"/>
    <x v="0"/>
    <s v="High (7K-12K)"/>
    <s v="Normal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n v="0"/>
    <x v="1"/>
    <x v="3"/>
    <s v="High (7K-12K)"/>
    <s v="Normal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n v="0"/>
    <x v="0"/>
    <x v="1"/>
    <s v="Very High (12K+)"/>
    <s v="Normal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n v="0"/>
    <x v="0"/>
    <x v="0"/>
    <s v="High (7K-12K)"/>
    <s v="Normal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n v="0"/>
    <x v="1"/>
    <x v="1"/>
    <s v="Mid (3K-7K)"/>
    <s v="High Risk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n v="1"/>
    <x v="2"/>
    <x v="3"/>
    <s v="Mid (3K-7K)"/>
    <s v="Normal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n v="0"/>
    <x v="4"/>
    <x v="3"/>
    <s v="Low (&lt;3K)"/>
    <s v="Normal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n v="0"/>
    <x v="0"/>
    <x v="2"/>
    <s v="High (7K-12K)"/>
    <s v="Normal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n v="0"/>
    <x v="0"/>
    <x v="0"/>
    <s v="Mid (3K-7K)"/>
    <s v="Normal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n v="0"/>
    <x v="1"/>
    <x v="1"/>
    <s v="Very High (12K+)"/>
    <s v="Normal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n v="0"/>
    <x v="4"/>
    <x v="0"/>
    <s v="Low (&lt;3K)"/>
    <s v="Normal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n v="0"/>
    <x v="2"/>
    <x v="0"/>
    <s v="Mid (3K-7K)"/>
    <s v="Normal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n v="0"/>
    <x v="4"/>
    <x v="2"/>
    <s v="Low (&lt;3K)"/>
    <s v="Normal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n v="0"/>
    <x v="1"/>
    <x v="1"/>
    <s v="Very High (12K+)"/>
    <s v="Normal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n v="0"/>
    <x v="2"/>
    <x v="0"/>
    <s v="Low (&lt;3K)"/>
    <s v="Normal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n v="1"/>
    <x v="4"/>
    <x v="0"/>
    <s v="Low (&lt;3K)"/>
    <s v="Normal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n v="1"/>
    <x v="2"/>
    <x v="2"/>
    <s v="Low (&lt;3K)"/>
    <s v="Normal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n v="0"/>
    <x v="2"/>
    <x v="0"/>
    <s v="Mid (3K-7K)"/>
    <s v="Normal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n v="1"/>
    <x v="2"/>
    <x v="3"/>
    <s v="Mid (3K-7K)"/>
    <s v="Normal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n v="0"/>
    <x v="0"/>
    <x v="3"/>
    <s v="Mid (3K-7K)"/>
    <s v="Normal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n v="0"/>
    <x v="2"/>
    <x v="0"/>
    <s v="Mid (3K-7K)"/>
    <s v="Normal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n v="0"/>
    <x v="2"/>
    <x v="0"/>
    <s v="Low (&lt;3K)"/>
    <s v="Normal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n v="0"/>
    <x v="0"/>
    <x v="3"/>
    <s v="High (7K-12K)"/>
    <s v="Normal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n v="0"/>
    <x v="4"/>
    <x v="2"/>
    <s v="Low (&lt;3K)"/>
    <s v="Normal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n v="0"/>
    <x v="0"/>
    <x v="1"/>
    <s v="Mid (3K-7K)"/>
    <s v="Normal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n v="0"/>
    <x v="0"/>
    <x v="2"/>
    <s v="Very High (12K+)"/>
    <s v="Normal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n v="0"/>
    <x v="0"/>
    <x v="2"/>
    <s v="Low (&lt;3K)"/>
    <s v="Normal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n v="0"/>
    <x v="0"/>
    <x v="0"/>
    <s v="Mid (3K-7K)"/>
    <s v="Normal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n v="0"/>
    <x v="1"/>
    <x v="3"/>
    <s v="Very High (12K+)"/>
    <s v="Normal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n v="0"/>
    <x v="0"/>
    <x v="3"/>
    <s v="Mid (3K-7K)"/>
    <s v="Normal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n v="0"/>
    <x v="2"/>
    <x v="0"/>
    <s v="Low (&lt;3K)"/>
    <s v="Normal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n v="1"/>
    <x v="2"/>
    <x v="3"/>
    <s v="Mid (3K-7K)"/>
    <s v="Normal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n v="0"/>
    <x v="4"/>
    <x v="3"/>
    <s v="Mid (3K-7K)"/>
    <s v="Normal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n v="0"/>
    <x v="0"/>
    <x v="3"/>
    <s v="Very High (12K+)"/>
    <s v="Normal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n v="0"/>
    <x v="4"/>
    <x v="3"/>
    <s v="Low (&lt;3K)"/>
    <s v="Normal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n v="0"/>
    <x v="2"/>
    <x v="0"/>
    <s v="High (7K-12K)"/>
    <s v="Normal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n v="0"/>
    <x v="2"/>
    <x v="0"/>
    <s v="Mid (3K-7K)"/>
    <s v="Normal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n v="0"/>
    <x v="2"/>
    <x v="2"/>
    <s v="Low (&lt;3K)"/>
    <s v="Normal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n v="0"/>
    <x v="1"/>
    <x v="1"/>
    <s v="High (7K-12K)"/>
    <s v="Normal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n v="0"/>
    <x v="2"/>
    <x v="1"/>
    <s v="Low (&lt;3K)"/>
    <s v="Normal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n v="1"/>
    <x v="1"/>
    <x v="2"/>
    <s v="Mid (3K-7K)"/>
    <s v="Normal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n v="0"/>
    <x v="2"/>
    <x v="3"/>
    <s v="Low (&lt;3K)"/>
    <s v="Normal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n v="0"/>
    <x v="0"/>
    <x v="1"/>
    <s v="High (7K-12K)"/>
    <s v="Normal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n v="0"/>
    <x v="2"/>
    <x v="0"/>
    <s v="Mid (3K-7K)"/>
    <s v="Normal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n v="0"/>
    <x v="0"/>
    <x v="1"/>
    <s v="Mid (3K-7K)"/>
    <s v="Normal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n v="0"/>
    <x v="2"/>
    <x v="1"/>
    <s v="High (7K-12K)"/>
    <s v="Normal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n v="0"/>
    <x v="1"/>
    <x v="0"/>
    <s v="High (7K-12K)"/>
    <s v="Normal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n v="0"/>
    <x v="0"/>
    <x v="3"/>
    <s v="High (7K-12K)"/>
    <s v="High Risk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n v="0"/>
    <x v="2"/>
    <x v="3"/>
    <s v="Low (&lt;3K)"/>
    <s v="Normal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n v="1"/>
    <x v="4"/>
    <x v="2"/>
    <s v="Low (&lt;3K)"/>
    <s v="Normal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n v="1"/>
    <x v="2"/>
    <x v="1"/>
    <s v="Mid (3K-7K)"/>
    <s v="High Risk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n v="0"/>
    <x v="0"/>
    <x v="2"/>
    <s v="Low (&lt;3K)"/>
    <s v="Normal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n v="0"/>
    <x v="4"/>
    <x v="3"/>
    <s v="Low (&lt;3K)"/>
    <s v="Normal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n v="0"/>
    <x v="2"/>
    <x v="3"/>
    <s v="Mid (3K-7K)"/>
    <s v="Normal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n v="0"/>
    <x v="0"/>
    <x v="0"/>
    <s v="Mid (3K-7K)"/>
    <s v="Normal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n v="0"/>
    <x v="2"/>
    <x v="1"/>
    <s v="Low (&lt;3K)"/>
    <s v="Normal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n v="0"/>
    <x v="1"/>
    <x v="3"/>
    <s v="High (7K-12K)"/>
    <s v="Normal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n v="0"/>
    <x v="2"/>
    <x v="0"/>
    <s v="Mid (3K-7K)"/>
    <s v="Normal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n v="0"/>
    <x v="0"/>
    <x v="2"/>
    <s v="Mid (3K-7K)"/>
    <s v="Normal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n v="0"/>
    <x v="1"/>
    <x v="1"/>
    <s v="Mid (3K-7K)"/>
    <s v="Normal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n v="0"/>
    <x v="2"/>
    <x v="0"/>
    <s v="High (7K-12K)"/>
    <s v="Normal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n v="1"/>
    <x v="4"/>
    <x v="3"/>
    <s v="Mid (3K-7K)"/>
    <s v="Normal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n v="0"/>
    <x v="0"/>
    <x v="1"/>
    <s v="Mid (3K-7K)"/>
    <s v="Normal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n v="0"/>
    <x v="2"/>
    <x v="1"/>
    <s v="Mid (3K-7K)"/>
    <s v="Normal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n v="1"/>
    <x v="1"/>
    <x v="3"/>
    <s v="Mid (3K-7K)"/>
    <s v="Normal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n v="0"/>
    <x v="0"/>
    <x v="0"/>
    <s v="High (7K-12K)"/>
    <s v="Normal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n v="0"/>
    <x v="2"/>
    <x v="0"/>
    <s v="High (7K-12K)"/>
    <s v="Normal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n v="0"/>
    <x v="2"/>
    <x v="0"/>
    <s v="High (7K-12K)"/>
    <s v="Normal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n v="0"/>
    <x v="1"/>
    <x v="0"/>
    <s v="Mid (3K-7K)"/>
    <s v="Normal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n v="0"/>
    <x v="0"/>
    <x v="1"/>
    <s v="High (7K-12K)"/>
    <s v="High Risk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n v="0"/>
    <x v="1"/>
    <x v="0"/>
    <s v="Very High (12K+)"/>
    <s v="Normal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n v="0"/>
    <x v="0"/>
    <x v="1"/>
    <s v="Very High (12K+)"/>
    <s v="Normal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n v="0"/>
    <x v="3"/>
    <x v="3"/>
    <s v="Mid (3K-7K)"/>
    <s v="Normal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n v="0"/>
    <x v="2"/>
    <x v="0"/>
    <s v="High (7K-12K)"/>
    <s v="Normal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n v="0"/>
    <x v="0"/>
    <x v="1"/>
    <s v="Very High (12K+)"/>
    <s v="Normal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n v="0"/>
    <x v="1"/>
    <x v="3"/>
    <s v="Mid (3K-7K)"/>
    <s v="Normal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n v="1"/>
    <x v="2"/>
    <x v="0"/>
    <s v="Low (&lt;3K)"/>
    <s v="High Risk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n v="0"/>
    <x v="0"/>
    <x v="0"/>
    <s v="High (7K-12K)"/>
    <s v="Normal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n v="0"/>
    <x v="0"/>
    <x v="2"/>
    <s v="High (7K-12K)"/>
    <s v="Normal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n v="0"/>
    <x v="0"/>
    <x v="0"/>
    <s v="Mid (3K-7K)"/>
    <s v="Normal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n v="0"/>
    <x v="1"/>
    <x v="1"/>
    <s v="Very High (12K+)"/>
    <s v="Normal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n v="0"/>
    <x v="2"/>
    <x v="0"/>
    <s v="Mid (3K-7K)"/>
    <s v="Normal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n v="0"/>
    <x v="2"/>
    <x v="2"/>
    <s v="Low (&lt;3K)"/>
    <s v="Normal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n v="1"/>
    <x v="0"/>
    <x v="3"/>
    <s v="Low (&lt;3K)"/>
    <s v="Normal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n v="0"/>
    <x v="0"/>
    <x v="3"/>
    <s v="Mid (3K-7K)"/>
    <s v="Normal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n v="0"/>
    <x v="2"/>
    <x v="0"/>
    <s v="Mid (3K-7K)"/>
    <s v="Normal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n v="0"/>
    <x v="4"/>
    <x v="3"/>
    <s v="Low (&lt;3K)"/>
    <s v="Normal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n v="0"/>
    <x v="0"/>
    <x v="0"/>
    <s v="Mid (3K-7K)"/>
    <s v="Normal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n v="0"/>
    <x v="3"/>
    <x v="1"/>
    <s v="High (7K-12K)"/>
    <s v="Normal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n v="0"/>
    <x v="0"/>
    <x v="3"/>
    <s v="Low (&lt;3K)"/>
    <s v="Normal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n v="0"/>
    <x v="2"/>
    <x v="0"/>
    <s v="Mid (3K-7K)"/>
    <s v="Normal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n v="0"/>
    <x v="2"/>
    <x v="3"/>
    <s v="Low (&lt;3K)"/>
    <s v="Normal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n v="0"/>
    <x v="1"/>
    <x v="3"/>
    <s v="Low (&lt;3K)"/>
    <s v="Normal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n v="0"/>
    <x v="0"/>
    <x v="2"/>
    <s v="Mid (3K-7K)"/>
    <s v="Normal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n v="0"/>
    <x v="2"/>
    <x v="1"/>
    <s v="Mid (3K-7K)"/>
    <s v="Normal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n v="0"/>
    <x v="0"/>
    <x v="2"/>
    <s v="Mid (3K-7K)"/>
    <s v="Normal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n v="0"/>
    <x v="2"/>
    <x v="2"/>
    <s v="Mid (3K-7K)"/>
    <s v="Normal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n v="0"/>
    <x v="1"/>
    <x v="1"/>
    <s v="Very High (12K+)"/>
    <s v="Normal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n v="1"/>
    <x v="2"/>
    <x v="1"/>
    <s v="Low (&lt;3K)"/>
    <s v="Normal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n v="0"/>
    <x v="2"/>
    <x v="0"/>
    <s v="Mid (3K-7K)"/>
    <s v="Normal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n v="0"/>
    <x v="1"/>
    <x v="0"/>
    <s v="Mid (3K-7K)"/>
    <s v="Normal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n v="0"/>
    <x v="4"/>
    <x v="3"/>
    <s v="Mid (3K-7K)"/>
    <s v="Normal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n v="1"/>
    <x v="1"/>
    <x v="0"/>
    <s v="Mid (3K-7K)"/>
    <s v="Normal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n v="0"/>
    <x v="2"/>
    <x v="0"/>
    <s v="Mid (3K-7K)"/>
    <s v="Normal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n v="1"/>
    <x v="3"/>
    <x v="0"/>
    <s v="Very High (12K+)"/>
    <s v="High Risk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n v="0"/>
    <x v="0"/>
    <x v="1"/>
    <s v="High (7K-12K)"/>
    <s v="Normal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n v="0"/>
    <x v="1"/>
    <x v="3"/>
    <s v="Mid (3K-7K)"/>
    <s v="Normal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n v="0"/>
    <x v="2"/>
    <x v="3"/>
    <s v="Mid (3K-7K)"/>
    <s v="Normal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n v="0"/>
    <x v="2"/>
    <x v="0"/>
    <s v="Mid (3K-7K)"/>
    <s v="Normal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n v="1"/>
    <x v="2"/>
    <x v="3"/>
    <s v="Mid (3K-7K)"/>
    <s v="Normal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n v="0"/>
    <x v="2"/>
    <x v="3"/>
    <s v="Mid (3K-7K)"/>
    <s v="Normal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n v="0"/>
    <x v="1"/>
    <x v="0"/>
    <s v="Mid (3K-7K)"/>
    <s v="High Risk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n v="0"/>
    <x v="2"/>
    <x v="3"/>
    <s v="Mid (3K-7K)"/>
    <s v="Normal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n v="0"/>
    <x v="0"/>
    <x v="0"/>
    <s v="Low (&lt;3K)"/>
    <s v="High Risk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n v="0"/>
    <x v="0"/>
    <x v="1"/>
    <s v="Mid (3K-7K)"/>
    <s v="High Risk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n v="0"/>
    <x v="2"/>
    <x v="0"/>
    <s v="Mid (3K-7K)"/>
    <s v="Normal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n v="0"/>
    <x v="0"/>
    <x v="3"/>
    <s v="Low (&lt;3K)"/>
    <s v="Normal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n v="0"/>
    <x v="2"/>
    <x v="3"/>
    <s v="Mid (3K-7K)"/>
    <s v="Normal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n v="0"/>
    <x v="0"/>
    <x v="0"/>
    <s v="Mid (3K-7K)"/>
    <s v="Normal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n v="0"/>
    <x v="2"/>
    <x v="3"/>
    <s v="Mid (3K-7K)"/>
    <s v="Normal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n v="0"/>
    <x v="0"/>
    <x v="1"/>
    <s v="Very High (12K+)"/>
    <s v="Normal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n v="1"/>
    <x v="4"/>
    <x v="2"/>
    <s v="Low (&lt;3K)"/>
    <s v="High Risk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n v="0"/>
    <x v="4"/>
    <x v="2"/>
    <s v="Low (&lt;3K)"/>
    <s v="Normal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n v="0"/>
    <x v="1"/>
    <x v="0"/>
    <s v="Mid (3K-7K)"/>
    <s v="Normal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n v="0"/>
    <x v="1"/>
    <x v="3"/>
    <s v="Very High (12K+)"/>
    <s v="Normal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n v="1"/>
    <x v="2"/>
    <x v="2"/>
    <s v="Low (&lt;3K)"/>
    <s v="High Risk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n v="0"/>
    <x v="2"/>
    <x v="1"/>
    <s v="High (7K-12K)"/>
    <s v="Normal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n v="1"/>
    <x v="2"/>
    <x v="3"/>
    <s v="Mid (3K-7K)"/>
    <s v="Normal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n v="0"/>
    <x v="1"/>
    <x v="1"/>
    <s v="Very High (12K+)"/>
    <s v="Normal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n v="0"/>
    <x v="0"/>
    <x v="0"/>
    <s v="Mid (3K-7K)"/>
    <s v="Normal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n v="0"/>
    <x v="2"/>
    <x v="1"/>
    <s v="Low (&lt;3K)"/>
    <s v="Normal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n v="1"/>
    <x v="3"/>
    <x v="1"/>
    <s v="Very High (12K+)"/>
    <s v="High Risk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n v="0"/>
    <x v="0"/>
    <x v="3"/>
    <s v="Low (&lt;3K)"/>
    <s v="Normal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n v="0"/>
    <x v="0"/>
    <x v="3"/>
    <s v="Mid (3K-7K)"/>
    <s v="Normal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n v="1"/>
    <x v="2"/>
    <x v="3"/>
    <s v="Mid (3K-7K)"/>
    <s v="Normal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n v="0"/>
    <x v="0"/>
    <x v="0"/>
    <s v="Low (&lt;3K)"/>
    <s v="Normal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n v="0"/>
    <x v="2"/>
    <x v="1"/>
    <s v="Mid (3K-7K)"/>
    <s v="Normal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n v="0"/>
    <x v="0"/>
    <x v="2"/>
    <s v="Mid (3K-7K)"/>
    <s v="Normal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n v="0"/>
    <x v="2"/>
    <x v="2"/>
    <s v="Mid (3K-7K)"/>
    <s v="Normal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n v="0"/>
    <x v="1"/>
    <x v="2"/>
    <s v="Low (&lt;3K)"/>
    <s v="Normal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n v="0"/>
    <x v="0"/>
    <x v="0"/>
    <s v="Mid (3K-7K)"/>
    <s v="Normal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n v="0"/>
    <x v="0"/>
    <x v="3"/>
    <s v="Mid (3K-7K)"/>
    <s v="Normal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n v="0"/>
    <x v="2"/>
    <x v="0"/>
    <s v="Low (&lt;3K)"/>
    <s v="Normal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n v="1"/>
    <x v="1"/>
    <x v="0"/>
    <s v="High (7K-12K)"/>
    <s v="Normal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n v="1"/>
    <x v="3"/>
    <x v="0"/>
    <s v="Mid (3K-7K)"/>
    <s v="Normal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n v="0"/>
    <x v="0"/>
    <x v="3"/>
    <s v="Very High (12K+)"/>
    <s v="Normal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n v="0"/>
    <x v="2"/>
    <x v="0"/>
    <s v="Very High (12K+)"/>
    <s v="Normal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n v="0"/>
    <x v="0"/>
    <x v="0"/>
    <s v="High (7K-12K)"/>
    <s v="Normal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n v="0"/>
    <x v="2"/>
    <x v="0"/>
    <s v="Mid (3K-7K)"/>
    <s v="High Risk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n v="0"/>
    <x v="2"/>
    <x v="3"/>
    <s v="Mid (3K-7K)"/>
    <s v="Normal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n v="1"/>
    <x v="2"/>
    <x v="0"/>
    <s v="Low (&lt;3K)"/>
    <s v="Normal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n v="0"/>
    <x v="2"/>
    <x v="2"/>
    <s v="Low (&lt;3K)"/>
    <s v="Normal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n v="0"/>
    <x v="1"/>
    <x v="1"/>
    <s v="Very High (12K+)"/>
    <s v="Normal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n v="0"/>
    <x v="0"/>
    <x v="0"/>
    <s v="Mid (3K-7K)"/>
    <s v="Normal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n v="0"/>
    <x v="2"/>
    <x v="3"/>
    <s v="Mid (3K-7K)"/>
    <s v="Normal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n v="0"/>
    <x v="2"/>
    <x v="0"/>
    <s v="Mid (3K-7K)"/>
    <s v="Normal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n v="0"/>
    <x v="0"/>
    <x v="0"/>
    <s v="Low (&lt;3K)"/>
    <s v="Normal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n v="0"/>
    <x v="0"/>
    <x v="1"/>
    <s v="Mid (3K-7K)"/>
    <s v="Normal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n v="0"/>
    <x v="2"/>
    <x v="0"/>
    <s v="Mid (3K-7K)"/>
    <s v="Normal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n v="0"/>
    <x v="2"/>
    <x v="0"/>
    <s v="Mid (3K-7K)"/>
    <s v="Normal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n v="0"/>
    <x v="1"/>
    <x v="0"/>
    <s v="High (7K-12K)"/>
    <s v="Normal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n v="0"/>
    <x v="1"/>
    <x v="0"/>
    <s v="High (7K-12K)"/>
    <s v="High Risk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n v="0"/>
    <x v="2"/>
    <x v="0"/>
    <s v="Mid (3K-7K)"/>
    <s v="Normal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n v="0"/>
    <x v="1"/>
    <x v="0"/>
    <s v="Very High (12K+)"/>
    <s v="Normal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n v="0"/>
    <x v="0"/>
    <x v="2"/>
    <s v="Mid (3K-7K)"/>
    <s v="Normal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n v="0"/>
    <x v="2"/>
    <x v="0"/>
    <s v="Mid (3K-7K)"/>
    <s v="Normal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n v="0"/>
    <x v="4"/>
    <x v="3"/>
    <s v="Mid (3K-7K)"/>
    <s v="Normal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n v="0"/>
    <x v="0"/>
    <x v="3"/>
    <s v="Low (&lt;3K)"/>
    <s v="Normal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n v="0"/>
    <x v="0"/>
    <x v="3"/>
    <s v="Low (&lt;3K)"/>
    <s v="Normal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n v="0"/>
    <x v="0"/>
    <x v="0"/>
    <s v="Low (&lt;3K)"/>
    <s v="Normal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n v="0"/>
    <x v="2"/>
    <x v="0"/>
    <s v="Mid (3K-7K)"/>
    <s v="High Risk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n v="0"/>
    <x v="0"/>
    <x v="1"/>
    <s v="High (7K-12K)"/>
    <s v="Normal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n v="1"/>
    <x v="0"/>
    <x v="1"/>
    <s v="Low (&lt;3K)"/>
    <s v="High Risk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n v="0"/>
    <x v="2"/>
    <x v="3"/>
    <s v="Low (&lt;3K)"/>
    <s v="Normal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n v="0"/>
    <x v="2"/>
    <x v="0"/>
    <s v="Mid (3K-7K)"/>
    <s v="Normal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n v="0"/>
    <x v="1"/>
    <x v="3"/>
    <s v="Mid (3K-7K)"/>
    <s v="Normal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n v="0"/>
    <x v="4"/>
    <x v="0"/>
    <s v="Mid (3K-7K)"/>
    <s v="Normal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n v="0"/>
    <x v="2"/>
    <x v="1"/>
    <s v="Mid (3K-7K)"/>
    <s v="Normal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n v="0"/>
    <x v="0"/>
    <x v="3"/>
    <s v="Low (&lt;3K)"/>
    <s v="Normal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n v="0"/>
    <x v="0"/>
    <x v="0"/>
    <s v="Mid (3K-7K)"/>
    <s v="Normal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n v="0"/>
    <x v="2"/>
    <x v="0"/>
    <s v="Low (&lt;3K)"/>
    <s v="Normal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n v="1"/>
    <x v="2"/>
    <x v="3"/>
    <s v="Low (&lt;3K)"/>
    <s v="Normal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n v="0"/>
    <x v="1"/>
    <x v="3"/>
    <s v="High (7K-12K)"/>
    <s v="Normal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n v="0"/>
    <x v="0"/>
    <x v="1"/>
    <s v="High (7K-12K)"/>
    <s v="Normal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n v="0"/>
    <x v="0"/>
    <x v="0"/>
    <s v="Low (&lt;3K)"/>
    <s v="Normal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n v="0"/>
    <x v="1"/>
    <x v="1"/>
    <s v="Very High (12K+)"/>
    <s v="Normal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n v="0"/>
    <x v="0"/>
    <x v="0"/>
    <s v="Mid (3K-7K)"/>
    <s v="Normal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n v="0"/>
    <x v="1"/>
    <x v="0"/>
    <s v="Mid (3K-7K)"/>
    <s v="Normal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n v="0"/>
    <x v="0"/>
    <x v="1"/>
    <s v="High (7K-12K)"/>
    <s v="High Risk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n v="0"/>
    <x v="1"/>
    <x v="1"/>
    <s v="Very High (12K+)"/>
    <s v="Normal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n v="0"/>
    <x v="0"/>
    <x v="0"/>
    <s v="Mid (3K-7K)"/>
    <s v="Normal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n v="0"/>
    <x v="2"/>
    <x v="3"/>
    <s v="Low (&lt;3K)"/>
    <s v="High Risk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n v="1"/>
    <x v="2"/>
    <x v="2"/>
    <s v="Low (&lt;3K)"/>
    <s v="Normal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n v="0"/>
    <x v="2"/>
    <x v="3"/>
    <s v="Low (&lt;3K)"/>
    <s v="Normal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n v="0"/>
    <x v="0"/>
    <x v="0"/>
    <s v="Low (&lt;3K)"/>
    <s v="High Risk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n v="0"/>
    <x v="2"/>
    <x v="3"/>
    <s v="Mid (3K-7K)"/>
    <s v="Normal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n v="1"/>
    <x v="3"/>
    <x v="2"/>
    <s v="Low (&lt;3K)"/>
    <s v="Normal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n v="0"/>
    <x v="0"/>
    <x v="2"/>
    <s v="Mid (3K-7K)"/>
    <s v="Normal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n v="1"/>
    <x v="4"/>
    <x v="3"/>
    <s v="Low (&lt;3K)"/>
    <s v="Normal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n v="1"/>
    <x v="4"/>
    <x v="2"/>
    <s v="Low (&lt;3K)"/>
    <s v="Normal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n v="0"/>
    <x v="0"/>
    <x v="1"/>
    <s v="Mid (3K-7K)"/>
    <s v="Normal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n v="0"/>
    <x v="1"/>
    <x v="3"/>
    <s v="Mid (3K-7K)"/>
    <s v="Normal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n v="1"/>
    <x v="4"/>
    <x v="3"/>
    <s v="Mid (3K-7K)"/>
    <s v="Normal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n v="1"/>
    <x v="0"/>
    <x v="0"/>
    <s v="Low (&lt;3K)"/>
    <s v="Normal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n v="0"/>
    <x v="2"/>
    <x v="3"/>
    <s v="Low (&lt;3K)"/>
    <s v="Normal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n v="1"/>
    <x v="0"/>
    <x v="3"/>
    <s v="Low (&lt;3K)"/>
    <s v="High Risk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n v="0"/>
    <x v="2"/>
    <x v="2"/>
    <s v="Low (&lt;3K)"/>
    <s v="Normal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n v="0"/>
    <x v="2"/>
    <x v="2"/>
    <s v="Low (&lt;3K)"/>
    <s v="Normal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n v="0"/>
    <x v="0"/>
    <x v="0"/>
    <s v="Mid (3K-7K)"/>
    <s v="Normal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n v="0"/>
    <x v="2"/>
    <x v="3"/>
    <s v="Low (&lt;3K)"/>
    <s v="High Risk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n v="0"/>
    <x v="3"/>
    <x v="0"/>
    <s v="High (7K-12K)"/>
    <s v="High Risk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n v="0"/>
    <x v="2"/>
    <x v="0"/>
    <s v="Low (&lt;3K)"/>
    <s v="Normal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n v="0"/>
    <x v="0"/>
    <x v="1"/>
    <s v="Mid (3K-7K)"/>
    <s v="Normal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n v="0"/>
    <x v="1"/>
    <x v="1"/>
    <s v="High (7K-12K)"/>
    <s v="Normal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n v="0"/>
    <x v="1"/>
    <x v="2"/>
    <s v="Low (&lt;3K)"/>
    <s v="Normal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n v="0"/>
    <x v="2"/>
    <x v="0"/>
    <s v="Mid (3K-7K)"/>
    <s v="Normal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n v="0"/>
    <x v="0"/>
    <x v="0"/>
    <s v="Mid (3K-7K)"/>
    <s v="Normal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n v="0"/>
    <x v="0"/>
    <x v="1"/>
    <s v="Very High (12K+)"/>
    <s v="Normal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n v="0"/>
    <x v="2"/>
    <x v="3"/>
    <s v="Low (&lt;3K)"/>
    <s v="Normal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n v="1"/>
    <x v="2"/>
    <x v="2"/>
    <s v="Low (&lt;3K)"/>
    <s v="High Risk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n v="0"/>
    <x v="0"/>
    <x v="2"/>
    <s v="High (7K-12K)"/>
    <s v="Normal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n v="0"/>
    <x v="2"/>
    <x v="0"/>
    <s v="Mid (3K-7K)"/>
    <s v="Normal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n v="0"/>
    <x v="0"/>
    <x v="1"/>
    <s v="Mid (3K-7K)"/>
    <s v="High Risk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n v="0"/>
    <x v="0"/>
    <x v="1"/>
    <s v="Low (&lt;3K)"/>
    <s v="Normal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n v="1"/>
    <x v="4"/>
    <x v="2"/>
    <s v="Low (&lt;3K)"/>
    <s v="High Risk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n v="1"/>
    <x v="4"/>
    <x v="2"/>
    <s v="Low (&lt;3K)"/>
    <s v="Normal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n v="0"/>
    <x v="2"/>
    <x v="0"/>
    <s v="Mid (3K-7K)"/>
    <s v="Normal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n v="0"/>
    <x v="0"/>
    <x v="2"/>
    <s v="Mid (3K-7K)"/>
    <s v="High Risk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n v="0"/>
    <x v="2"/>
    <x v="0"/>
    <s v="Mid (3K-7K)"/>
    <s v="Normal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n v="1"/>
    <x v="0"/>
    <x v="1"/>
    <s v="High (7K-12K)"/>
    <s v="Normal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n v="0"/>
    <x v="2"/>
    <x v="0"/>
    <s v="Mid (3K-7K)"/>
    <s v="Normal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n v="1"/>
    <x v="0"/>
    <x v="1"/>
    <s v="High (7K-12K)"/>
    <s v="Normal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n v="0"/>
    <x v="1"/>
    <x v="0"/>
    <s v="Mid (3K-7K)"/>
    <s v="Normal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n v="0"/>
    <x v="2"/>
    <x v="3"/>
    <s v="Low (&lt;3K)"/>
    <s v="Normal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n v="0"/>
    <x v="0"/>
    <x v="0"/>
    <s v="Mid (3K-7K)"/>
    <s v="Normal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n v="0"/>
    <x v="1"/>
    <x v="0"/>
    <s v="Very High (12K+)"/>
    <s v="Normal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n v="1"/>
    <x v="3"/>
    <x v="2"/>
    <s v="Low (&lt;3K)"/>
    <s v="Normal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n v="0"/>
    <x v="1"/>
    <x v="1"/>
    <s v="Very High (12K+)"/>
    <s v="Normal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n v="0"/>
    <x v="2"/>
    <x v="0"/>
    <s v="High (7K-12K)"/>
    <s v="Normal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n v="0"/>
    <x v="0"/>
    <x v="0"/>
    <s v="Mid (3K-7K)"/>
    <s v="Normal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n v="0"/>
    <x v="0"/>
    <x v="1"/>
    <s v="High (7K-12K)"/>
    <s v="Normal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n v="0"/>
    <x v="0"/>
    <x v="0"/>
    <s v="High (7K-12K)"/>
    <s v="Normal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n v="1"/>
    <x v="0"/>
    <x v="2"/>
    <s v="Very High (12K+)"/>
    <s v="High Risk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n v="0"/>
    <x v="1"/>
    <x v="1"/>
    <s v="Mid (3K-7K)"/>
    <s v="Normal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n v="0"/>
    <x v="0"/>
    <x v="0"/>
    <s v="Mid (3K-7K)"/>
    <s v="Normal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n v="1"/>
    <x v="2"/>
    <x v="3"/>
    <s v="Low (&lt;3K)"/>
    <s v="High Risk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n v="0"/>
    <x v="2"/>
    <x v="1"/>
    <s v="Very High (12K+)"/>
    <s v="Normal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n v="1"/>
    <x v="2"/>
    <x v="2"/>
    <s v="Low (&lt;3K)"/>
    <s v="High Risk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n v="0"/>
    <x v="2"/>
    <x v="3"/>
    <s v="Mid (3K-7K)"/>
    <s v="Normal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n v="0"/>
    <x v="1"/>
    <x v="0"/>
    <s v="Low (&lt;3K)"/>
    <s v="Normal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n v="0"/>
    <x v="1"/>
    <x v="0"/>
    <s v="Very High (12K+)"/>
    <s v="Normal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n v="0"/>
    <x v="2"/>
    <x v="0"/>
    <s v="Mid (3K-7K)"/>
    <s v="High Risk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n v="0"/>
    <x v="0"/>
    <x v="1"/>
    <s v="Very High (12K+)"/>
    <s v="Normal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n v="0"/>
    <x v="2"/>
    <x v="3"/>
    <s v="Low (&lt;3K)"/>
    <s v="Normal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n v="0"/>
    <x v="1"/>
    <x v="0"/>
    <s v="Mid (3K-7K)"/>
    <s v="High Risk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n v="0"/>
    <x v="1"/>
    <x v="0"/>
    <s v="Mid (3K-7K)"/>
    <s v="Normal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n v="1"/>
    <x v="2"/>
    <x v="0"/>
    <s v="Low (&lt;3K)"/>
    <s v="Normal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n v="0"/>
    <x v="1"/>
    <x v="1"/>
    <s v="Very High (12K+)"/>
    <s v="Normal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n v="0"/>
    <x v="0"/>
    <x v="3"/>
    <s v="Low (&lt;3K)"/>
    <s v="Normal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n v="0"/>
    <x v="1"/>
    <x v="0"/>
    <s v="High (7K-12K)"/>
    <s v="Normal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n v="0"/>
    <x v="4"/>
    <x v="3"/>
    <s v="Mid (3K-7K)"/>
    <s v="Normal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n v="1"/>
    <x v="0"/>
    <x v="3"/>
    <s v="Mid (3K-7K)"/>
    <s v="High Risk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n v="0"/>
    <x v="2"/>
    <x v="3"/>
    <s v="Mid (3K-7K)"/>
    <s v="Normal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n v="0"/>
    <x v="4"/>
    <x v="2"/>
    <s v="Low (&lt;3K)"/>
    <s v="Normal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n v="0"/>
    <x v="1"/>
    <x v="1"/>
    <s v="High (7K-12K)"/>
    <s v="Normal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n v="0"/>
    <x v="0"/>
    <x v="1"/>
    <s v="High (7K-12K)"/>
    <s v="Normal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n v="0"/>
    <x v="2"/>
    <x v="0"/>
    <s v="High (7K-12K)"/>
    <s v="High Risk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n v="1"/>
    <x v="4"/>
    <x v="2"/>
    <s v="Low (&lt;3K)"/>
    <s v="High Risk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n v="1"/>
    <x v="2"/>
    <x v="3"/>
    <s v="Low (&lt;3K)"/>
    <s v="Normal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n v="0"/>
    <x v="2"/>
    <x v="0"/>
    <s v="Mid (3K-7K)"/>
    <s v="Normal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n v="0"/>
    <x v="4"/>
    <x v="3"/>
    <s v="Low (&lt;3K)"/>
    <s v="Normal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n v="0"/>
    <x v="1"/>
    <x v="3"/>
    <s v="Mid (3K-7K)"/>
    <s v="Normal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n v="0"/>
    <x v="1"/>
    <x v="1"/>
    <s v="High (7K-12K)"/>
    <s v="Normal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n v="0"/>
    <x v="0"/>
    <x v="3"/>
    <s v="Mid (3K-7K)"/>
    <s v="Normal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n v="0"/>
    <x v="0"/>
    <x v="1"/>
    <s v="Very High (12K+)"/>
    <s v="Normal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n v="0"/>
    <x v="2"/>
    <x v="3"/>
    <s v="Mid (3K-7K)"/>
    <s v="Normal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n v="0"/>
    <x v="0"/>
    <x v="3"/>
    <s v="Mid (3K-7K)"/>
    <s v="Normal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n v="0"/>
    <x v="0"/>
    <x v="2"/>
    <s v="Very High (12K+)"/>
    <s v="Normal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n v="0"/>
    <x v="1"/>
    <x v="2"/>
    <s v="Low (&lt;3K)"/>
    <s v="Normal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n v="0"/>
    <x v="3"/>
    <x v="0"/>
    <s v="Very High (12K+)"/>
    <s v="Normal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n v="1"/>
    <x v="0"/>
    <x v="2"/>
    <s v="Mid (3K-7K)"/>
    <s v="Normal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n v="0"/>
    <x v="3"/>
    <x v="0"/>
    <s v="Mid (3K-7K)"/>
    <s v="High Risk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n v="0"/>
    <x v="0"/>
    <x v="1"/>
    <s v="Very High (12K+)"/>
    <s v="Normal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n v="0"/>
    <x v="0"/>
    <x v="2"/>
    <s v="Mid (3K-7K)"/>
    <s v="Normal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n v="1"/>
    <x v="2"/>
    <x v="3"/>
    <s v="Mid (3K-7K)"/>
    <s v="Normal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n v="1"/>
    <x v="1"/>
    <x v="1"/>
    <s v="Very High (12K+)"/>
    <s v="Normal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n v="0"/>
    <x v="0"/>
    <x v="1"/>
    <s v="Very High (12K+)"/>
    <s v="Normal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n v="0"/>
    <x v="1"/>
    <x v="1"/>
    <s v="Mid (3K-7K)"/>
    <s v="Normal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n v="1"/>
    <x v="0"/>
    <x v="1"/>
    <s v="Low (&lt;3K)"/>
    <s v="Normal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n v="0"/>
    <x v="0"/>
    <x v="1"/>
    <s v="High (7K-12K)"/>
    <s v="High Risk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n v="0"/>
    <x v="2"/>
    <x v="3"/>
    <s v="Low (&lt;3K)"/>
    <s v="Normal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n v="0"/>
    <x v="1"/>
    <x v="0"/>
    <s v="Very High (12K+)"/>
    <s v="Normal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n v="0"/>
    <x v="2"/>
    <x v="0"/>
    <s v="Mid (3K-7K)"/>
    <s v="Normal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n v="0"/>
    <x v="2"/>
    <x v="1"/>
    <s v="High (7K-12K)"/>
    <s v="Normal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n v="0"/>
    <x v="3"/>
    <x v="0"/>
    <s v="High (7K-12K)"/>
    <s v="Normal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n v="0"/>
    <x v="1"/>
    <x v="0"/>
    <s v="Low (&lt;3K)"/>
    <s v="Normal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n v="0"/>
    <x v="1"/>
    <x v="1"/>
    <s v="High (7K-12K)"/>
    <s v="Normal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n v="1"/>
    <x v="0"/>
    <x v="2"/>
    <s v="Mid (3K-7K)"/>
    <s v="Normal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n v="1"/>
    <x v="2"/>
    <x v="3"/>
    <s v="Low (&lt;3K)"/>
    <s v="High Risk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n v="0"/>
    <x v="2"/>
    <x v="2"/>
    <s v="Low (&lt;3K)"/>
    <s v="Normal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n v="0"/>
    <x v="2"/>
    <x v="2"/>
    <s v="Low (&lt;3K)"/>
    <s v="Normal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n v="0"/>
    <x v="0"/>
    <x v="3"/>
    <s v="Low (&lt;3K)"/>
    <s v="Normal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n v="0"/>
    <x v="1"/>
    <x v="0"/>
    <s v="Very High (12K+)"/>
    <s v="Normal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n v="0"/>
    <x v="0"/>
    <x v="3"/>
    <s v="Mid (3K-7K)"/>
    <s v="Normal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n v="0"/>
    <x v="0"/>
    <x v="0"/>
    <s v="High (7K-12K)"/>
    <s v="Normal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n v="0"/>
    <x v="2"/>
    <x v="0"/>
    <s v="Low (&lt;3K)"/>
    <s v="Normal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n v="0"/>
    <x v="1"/>
    <x v="3"/>
    <s v="Very High (12K+)"/>
    <s v="Normal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n v="0"/>
    <x v="1"/>
    <x v="0"/>
    <s v="High (7K-12K)"/>
    <s v="Normal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n v="0"/>
    <x v="3"/>
    <x v="0"/>
    <s v="Low (&lt;3K)"/>
    <s v="Normal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n v="0"/>
    <x v="0"/>
    <x v="1"/>
    <s v="High (7K-12K)"/>
    <s v="Normal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n v="0"/>
    <x v="3"/>
    <x v="0"/>
    <s v="Very High (12K+)"/>
    <s v="Normal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n v="0"/>
    <x v="0"/>
    <x v="2"/>
    <s v="High (7K-12K)"/>
    <s v="Normal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n v="1"/>
    <x v="4"/>
    <x v="3"/>
    <s v="Low (&lt;3K)"/>
    <s v="Normal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n v="1"/>
    <x v="4"/>
    <x v="2"/>
    <s v="Low (&lt;3K)"/>
    <s v="Normal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n v="0"/>
    <x v="1"/>
    <x v="1"/>
    <s v="Mid (3K-7K)"/>
    <s v="High Risk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n v="1"/>
    <x v="1"/>
    <x v="1"/>
    <s v="Low (&lt;3K)"/>
    <s v="Normal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n v="1"/>
    <x v="2"/>
    <x v="1"/>
    <s v="High (7K-12K)"/>
    <s v="Normal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n v="0"/>
    <x v="2"/>
    <x v="0"/>
    <s v="Mid (3K-7K)"/>
    <s v="Normal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n v="0"/>
    <x v="2"/>
    <x v="0"/>
    <s v="High (7K-12K)"/>
    <s v="Normal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n v="0"/>
    <x v="0"/>
    <x v="1"/>
    <s v="Mid (3K-7K)"/>
    <s v="Normal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n v="0"/>
    <x v="0"/>
    <x v="1"/>
    <s v="High (7K-12K)"/>
    <s v="Normal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n v="0"/>
    <x v="0"/>
    <x v="1"/>
    <s v="High (7K-12K)"/>
    <s v="Normal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n v="0"/>
    <x v="2"/>
    <x v="3"/>
    <s v="Mid (3K-7K)"/>
    <s v="Normal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n v="0"/>
    <x v="3"/>
    <x v="3"/>
    <s v="High (7K-12K)"/>
    <s v="Normal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n v="0"/>
    <x v="2"/>
    <x v="0"/>
    <s v="Mid (3K-7K)"/>
    <s v="Normal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n v="1"/>
    <x v="0"/>
    <x v="1"/>
    <s v="High (7K-12K)"/>
    <s v="Normal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n v="0"/>
    <x v="2"/>
    <x v="3"/>
    <s v="High (7K-12K)"/>
    <s v="Normal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n v="1"/>
    <x v="0"/>
    <x v="0"/>
    <s v="High (7K-12K)"/>
    <s v="High Risk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n v="1"/>
    <x v="2"/>
    <x v="1"/>
    <s v="Mid (3K-7K)"/>
    <s v="Normal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n v="0"/>
    <x v="2"/>
    <x v="3"/>
    <s v="Low (&lt;3K)"/>
    <s v="Normal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n v="0"/>
    <x v="2"/>
    <x v="0"/>
    <s v="High (7K-12K)"/>
    <s v="Normal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n v="0"/>
    <x v="0"/>
    <x v="2"/>
    <s v="Mid (3K-7K)"/>
    <s v="Normal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n v="1"/>
    <x v="2"/>
    <x v="0"/>
    <s v="Mid (3K-7K)"/>
    <s v="Normal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n v="1"/>
    <x v="2"/>
    <x v="2"/>
    <s v="Low (&lt;3K)"/>
    <s v="Normal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n v="1"/>
    <x v="2"/>
    <x v="3"/>
    <s v="Low (&lt;3K)"/>
    <s v="High Risk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n v="0"/>
    <x v="0"/>
    <x v="1"/>
    <s v="Very High (12K+)"/>
    <s v="Normal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n v="1"/>
    <x v="2"/>
    <x v="2"/>
    <s v="Low (&lt;3K)"/>
    <s v="Normal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n v="1"/>
    <x v="1"/>
    <x v="2"/>
    <s v="Mid (3K-7K)"/>
    <s v="Normal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n v="0"/>
    <x v="2"/>
    <x v="3"/>
    <s v="Mid (3K-7K)"/>
    <s v="Normal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n v="0"/>
    <x v="2"/>
    <x v="2"/>
    <s v="Low (&lt;3K)"/>
    <s v="Normal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n v="0"/>
    <x v="1"/>
    <x v="0"/>
    <s v="Very High (12K+)"/>
    <s v="Normal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n v="0"/>
    <x v="1"/>
    <x v="1"/>
    <s v="Mid (3K-7K)"/>
    <s v="Normal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n v="0"/>
    <x v="1"/>
    <x v="0"/>
    <s v="High (7K-12K)"/>
    <s v="Normal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n v="0"/>
    <x v="0"/>
    <x v="0"/>
    <s v="High (7K-12K)"/>
    <s v="Normal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n v="0"/>
    <x v="2"/>
    <x v="0"/>
    <s v="Low (&lt;3K)"/>
    <s v="Normal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n v="0"/>
    <x v="2"/>
    <x v="0"/>
    <s v="High (7K-12K)"/>
    <s v="Normal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n v="0"/>
    <x v="1"/>
    <x v="1"/>
    <s v="Very High (12K+)"/>
    <s v="Normal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n v="0"/>
    <x v="0"/>
    <x v="2"/>
    <s v="High (7K-12K)"/>
    <s v="Normal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n v="0"/>
    <x v="0"/>
    <x v="0"/>
    <s v="High (7K-12K)"/>
    <s v="Normal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n v="1"/>
    <x v="0"/>
    <x v="1"/>
    <s v="Very High (12K+)"/>
    <s v="Normal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n v="0"/>
    <x v="0"/>
    <x v="1"/>
    <s v="Very High (12K+)"/>
    <s v="Normal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n v="0"/>
    <x v="4"/>
    <x v="3"/>
    <s v="Low (&lt;3K)"/>
    <s v="High Risk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n v="0"/>
    <x v="0"/>
    <x v="0"/>
    <s v="Mid (3K-7K)"/>
    <s v="Normal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n v="0"/>
    <x v="0"/>
    <x v="1"/>
    <s v="High (7K-12K)"/>
    <s v="Normal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n v="0"/>
    <x v="2"/>
    <x v="3"/>
    <s v="Low (&lt;3K)"/>
    <s v="Normal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n v="0"/>
    <x v="2"/>
    <x v="0"/>
    <s v="Mid (3K-7K)"/>
    <s v="Normal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n v="0"/>
    <x v="0"/>
    <x v="0"/>
    <s v="Mid (3K-7K)"/>
    <s v="Normal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n v="0"/>
    <x v="1"/>
    <x v="0"/>
    <s v="Very High (12K+)"/>
    <s v="Normal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n v="0"/>
    <x v="2"/>
    <x v="3"/>
    <s v="Mid (3K-7K)"/>
    <s v="Normal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n v="0"/>
    <x v="2"/>
    <x v="0"/>
    <s v="Mid (3K-7K)"/>
    <s v="Normal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n v="0"/>
    <x v="0"/>
    <x v="2"/>
    <s v="Mid (3K-7K)"/>
    <s v="Normal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n v="0"/>
    <x v="2"/>
    <x v="1"/>
    <s v="Mid (3K-7K)"/>
    <s v="Normal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n v="0"/>
    <x v="0"/>
    <x v="0"/>
    <s v="Low (&lt;3K)"/>
    <s v="Normal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n v="0"/>
    <x v="2"/>
    <x v="3"/>
    <s v="Low (&lt;3K)"/>
    <s v="Normal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n v="1"/>
    <x v="4"/>
    <x v="2"/>
    <s v="Low (&lt;3K)"/>
    <s v="Normal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n v="1"/>
    <x v="2"/>
    <x v="0"/>
    <s v="High (7K-12K)"/>
    <s v="High Risk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n v="0"/>
    <x v="0"/>
    <x v="2"/>
    <s v="Mid (3K-7K)"/>
    <s v="Normal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n v="1"/>
    <x v="2"/>
    <x v="3"/>
    <s v="Low (&lt;3K)"/>
    <s v="Normal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n v="0"/>
    <x v="0"/>
    <x v="0"/>
    <s v="Mid (3K-7K)"/>
    <s v="Normal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n v="0"/>
    <x v="2"/>
    <x v="3"/>
    <s v="Low (&lt;3K)"/>
    <s v="Normal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n v="0"/>
    <x v="2"/>
    <x v="0"/>
    <s v="Mid (3K-7K)"/>
    <s v="Normal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n v="0"/>
    <x v="0"/>
    <x v="0"/>
    <s v="Mid (3K-7K)"/>
    <s v="Normal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n v="1"/>
    <x v="2"/>
    <x v="1"/>
    <s v="High (7K-12K)"/>
    <s v="Normal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n v="0"/>
    <x v="0"/>
    <x v="1"/>
    <s v="Very High (12K+)"/>
    <s v="Normal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n v="1"/>
    <x v="0"/>
    <x v="1"/>
    <s v="Very High (12K+)"/>
    <s v="High Risk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n v="0"/>
    <x v="0"/>
    <x v="0"/>
    <s v="Mid (3K-7K)"/>
    <s v="Normal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n v="0"/>
    <x v="0"/>
    <x v="0"/>
    <s v="Low (&lt;3K)"/>
    <s v="Normal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n v="0"/>
    <x v="4"/>
    <x v="3"/>
    <s v="Mid (3K-7K)"/>
    <s v="Normal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n v="1"/>
    <x v="2"/>
    <x v="2"/>
    <s v="Low (&lt;3K)"/>
    <s v="Normal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n v="0"/>
    <x v="2"/>
    <x v="0"/>
    <s v="Mid (3K-7K)"/>
    <s v="Normal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n v="0"/>
    <x v="2"/>
    <x v="1"/>
    <s v="Mid (3K-7K)"/>
    <s v="Normal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n v="0"/>
    <x v="0"/>
    <x v="2"/>
    <s v="Mid (3K-7K)"/>
    <s v="Normal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n v="0"/>
    <x v="0"/>
    <x v="0"/>
    <s v="High (7K-12K)"/>
    <s v="Normal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n v="0"/>
    <x v="2"/>
    <x v="1"/>
    <s v="Mid (3K-7K)"/>
    <s v="Normal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n v="0"/>
    <x v="0"/>
    <x v="3"/>
    <s v="Low (&lt;3K)"/>
    <s v="Normal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n v="1"/>
    <x v="0"/>
    <x v="3"/>
    <s v="Mid (3K-7K)"/>
    <s v="Normal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n v="0"/>
    <x v="2"/>
    <x v="2"/>
    <s v="Low (&lt;3K)"/>
    <s v="Normal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n v="0"/>
    <x v="3"/>
    <x v="0"/>
    <s v="Very High (12K+)"/>
    <s v="Normal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n v="0"/>
    <x v="2"/>
    <x v="1"/>
    <s v="Mid (3K-7K)"/>
    <s v="Normal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n v="0"/>
    <x v="4"/>
    <x v="2"/>
    <s v="Low (&lt;3K)"/>
    <s v="Normal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n v="0"/>
    <x v="1"/>
    <x v="3"/>
    <s v="Mid (3K-7K)"/>
    <s v="Normal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n v="0"/>
    <x v="0"/>
    <x v="1"/>
    <s v="Mid (3K-7K)"/>
    <s v="Normal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n v="0"/>
    <x v="4"/>
    <x v="3"/>
    <s v="Mid (3K-7K)"/>
    <s v="Normal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n v="1"/>
    <x v="0"/>
    <x v="0"/>
    <s v="Low (&lt;3K)"/>
    <s v="Normal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n v="0"/>
    <x v="1"/>
    <x v="0"/>
    <s v="Very High (12K+)"/>
    <s v="Normal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n v="0"/>
    <x v="2"/>
    <x v="0"/>
    <s v="Low (&lt;3K)"/>
    <s v="Normal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n v="1"/>
    <x v="4"/>
    <x v="2"/>
    <s v="Low (&lt;3K)"/>
    <s v="Normal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n v="0"/>
    <x v="1"/>
    <x v="1"/>
    <s v="Very High (12K+)"/>
    <s v="Normal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n v="0"/>
    <x v="0"/>
    <x v="2"/>
    <s v="Low (&lt;3K)"/>
    <s v="Normal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n v="0"/>
    <x v="2"/>
    <x v="0"/>
    <s v="Mid (3K-7K)"/>
    <s v="Normal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n v="1"/>
    <x v="0"/>
    <x v="2"/>
    <s v="Low (&lt;3K)"/>
    <s v="Normal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n v="0"/>
    <x v="2"/>
    <x v="3"/>
    <s v="Mid (3K-7K)"/>
    <s v="Normal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n v="0"/>
    <x v="0"/>
    <x v="2"/>
    <s v="Mid (3K-7K)"/>
    <s v="Normal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n v="0"/>
    <x v="1"/>
    <x v="3"/>
    <s v="Very High (12K+)"/>
    <s v="Normal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n v="0"/>
    <x v="2"/>
    <x v="0"/>
    <s v="Mid (3K-7K)"/>
    <s v="Normal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n v="0"/>
    <x v="1"/>
    <x v="3"/>
    <s v="Very High (12K+)"/>
    <s v="Normal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n v="0"/>
    <x v="0"/>
    <x v="0"/>
    <s v="High (7K-12K)"/>
    <s v="High Risk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n v="1"/>
    <x v="4"/>
    <x v="2"/>
    <s v="Low (&lt;3K)"/>
    <s v="Normal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n v="0"/>
    <x v="2"/>
    <x v="1"/>
    <s v="Mid (3K-7K)"/>
    <s v="Normal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n v="0"/>
    <x v="0"/>
    <x v="0"/>
    <s v="Low (&lt;3K)"/>
    <s v="Normal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n v="0"/>
    <x v="2"/>
    <x v="1"/>
    <s v="Mid (3K-7K)"/>
    <s v="Normal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n v="0"/>
    <x v="0"/>
    <x v="1"/>
    <s v="Mid (3K-7K)"/>
    <s v="Normal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n v="0"/>
    <x v="4"/>
    <x v="3"/>
    <s v="Low (&lt;3K)"/>
    <s v="Normal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n v="0"/>
    <x v="1"/>
    <x v="0"/>
    <s v="High (7K-12K)"/>
    <s v="Normal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n v="0"/>
    <x v="0"/>
    <x v="3"/>
    <s v="Mid (3K-7K)"/>
    <s v="Normal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n v="0"/>
    <x v="3"/>
    <x v="1"/>
    <s v="Mid (3K-7K)"/>
    <s v="Normal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n v="0"/>
    <x v="2"/>
    <x v="3"/>
    <s v="Low (&lt;3K)"/>
    <s v="Normal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n v="0"/>
    <x v="2"/>
    <x v="0"/>
    <s v="Mid (3K-7K)"/>
    <s v="Normal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n v="0"/>
    <x v="0"/>
    <x v="0"/>
    <s v="High (7K-12K)"/>
    <s v="High Risk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n v="0"/>
    <x v="2"/>
    <x v="1"/>
    <s v="Low (&lt;3K)"/>
    <s v="Normal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n v="0"/>
    <x v="0"/>
    <x v="0"/>
    <s v="Mid (3K-7K)"/>
    <s v="Normal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n v="0"/>
    <x v="2"/>
    <x v="3"/>
    <s v="Mid (3K-7K)"/>
    <s v="Normal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n v="0"/>
    <x v="2"/>
    <x v="1"/>
    <s v="Mid (3K-7K)"/>
    <s v="High Risk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n v="0"/>
    <x v="0"/>
    <x v="2"/>
    <s v="Very High (12K+)"/>
    <s v="High Risk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n v="0"/>
    <x v="0"/>
    <x v="1"/>
    <s v="High (7K-12K)"/>
    <s v="Normal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n v="0"/>
    <x v="2"/>
    <x v="0"/>
    <s v="Low (&lt;3K)"/>
    <s v="High Risk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n v="0"/>
    <x v="1"/>
    <x v="0"/>
    <s v="High (7K-12K)"/>
    <s v="Normal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n v="0"/>
    <x v="0"/>
    <x v="1"/>
    <s v="Low (&lt;3K)"/>
    <s v="Normal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n v="1"/>
    <x v="4"/>
    <x v="2"/>
    <s v="Low (&lt;3K)"/>
    <s v="High Risk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n v="0"/>
    <x v="2"/>
    <x v="3"/>
    <s v="Mid (3K-7K)"/>
    <s v="Normal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n v="0"/>
    <x v="1"/>
    <x v="1"/>
    <s v="Very High (12K+)"/>
    <s v="Normal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n v="0"/>
    <x v="2"/>
    <x v="0"/>
    <s v="Mid (3K-7K)"/>
    <s v="High Risk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n v="0"/>
    <x v="2"/>
    <x v="1"/>
    <s v="Mid (3K-7K)"/>
    <s v="Normal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n v="0"/>
    <x v="3"/>
    <x v="0"/>
    <s v="Mid (3K-7K)"/>
    <s v="Normal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n v="0"/>
    <x v="0"/>
    <x v="0"/>
    <s v="Very High (12K+)"/>
    <s v="Normal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n v="0"/>
    <x v="1"/>
    <x v="2"/>
    <s v="Very High (12K+)"/>
    <s v="Normal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n v="0"/>
    <x v="0"/>
    <x v="1"/>
    <s v="Mid (3K-7K)"/>
    <s v="Normal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n v="0"/>
    <x v="1"/>
    <x v="2"/>
    <s v="Low (&lt;3K)"/>
    <s v="Normal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n v="0"/>
    <x v="2"/>
    <x v="0"/>
    <s v="Low (&lt;3K)"/>
    <s v="Normal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n v="0"/>
    <x v="2"/>
    <x v="0"/>
    <s v="Mid (3K-7K)"/>
    <s v="Normal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n v="0"/>
    <x v="1"/>
    <x v="2"/>
    <s v="Very High (12K+)"/>
    <s v="Normal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n v="0"/>
    <x v="2"/>
    <x v="0"/>
    <s v="Very High (12K+)"/>
    <s v="Normal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n v="0"/>
    <x v="2"/>
    <x v="2"/>
    <s v="Low (&lt;3K)"/>
    <s v="Normal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n v="0"/>
    <x v="0"/>
    <x v="1"/>
    <s v="Very High (12K+)"/>
    <s v="Normal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n v="0"/>
    <x v="2"/>
    <x v="0"/>
    <s v="High (7K-12K)"/>
    <s v="Normal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n v="0"/>
    <x v="4"/>
    <x v="2"/>
    <s v="Low (&lt;3K)"/>
    <s v="Normal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n v="0"/>
    <x v="4"/>
    <x v="2"/>
    <s v="Low (&lt;3K)"/>
    <s v="Normal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n v="1"/>
    <x v="2"/>
    <x v="2"/>
    <s v="Low (&lt;3K)"/>
    <s v="Normal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n v="0"/>
    <x v="2"/>
    <x v="0"/>
    <s v="Low (&lt;3K)"/>
    <s v="Normal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n v="1"/>
    <x v="1"/>
    <x v="1"/>
    <s v="Very High (12K+)"/>
    <s v="High Risk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n v="0"/>
    <x v="3"/>
    <x v="1"/>
    <s v="Very High (12K+)"/>
    <s v="High Risk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n v="1"/>
    <x v="4"/>
    <x v="3"/>
    <s v="Low (&lt;3K)"/>
    <s v="Normal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n v="0"/>
    <x v="1"/>
    <x v="1"/>
    <s v="Very High (12K+)"/>
    <s v="Normal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n v="0"/>
    <x v="2"/>
    <x v="3"/>
    <s v="Mid (3K-7K)"/>
    <s v="High Risk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n v="0"/>
    <x v="1"/>
    <x v="1"/>
    <s v="Very High (12K+)"/>
    <s v="High Risk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n v="0"/>
    <x v="3"/>
    <x v="0"/>
    <s v="High (7K-12K)"/>
    <s v="Normal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n v="0"/>
    <x v="2"/>
    <x v="1"/>
    <s v="Mid (3K-7K)"/>
    <s v="Normal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n v="0"/>
    <x v="2"/>
    <x v="3"/>
    <s v="Low (&lt;3K)"/>
    <s v="Normal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n v="0"/>
    <x v="0"/>
    <x v="1"/>
    <s v="Very High (12K+)"/>
    <s v="Normal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n v="0"/>
    <x v="2"/>
    <x v="1"/>
    <s v="Mid (3K-7K)"/>
    <s v="Normal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n v="0"/>
    <x v="0"/>
    <x v="3"/>
    <s v="Mid (3K-7K)"/>
    <s v="Normal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n v="0"/>
    <x v="0"/>
    <x v="2"/>
    <s v="Low (&lt;3K)"/>
    <s v="High Risk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n v="0"/>
    <x v="0"/>
    <x v="1"/>
    <s v="High (7K-12K)"/>
    <s v="Normal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n v="0"/>
    <x v="0"/>
    <x v="1"/>
    <s v="Mid (3K-7K)"/>
    <s v="High Risk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n v="1"/>
    <x v="0"/>
    <x v="1"/>
    <s v="High (7K-12K)"/>
    <s v="Normal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n v="0"/>
    <x v="2"/>
    <x v="3"/>
    <s v="Mid (3K-7K)"/>
    <s v="Normal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n v="0"/>
    <x v="1"/>
    <x v="0"/>
    <s v="Low (&lt;3K)"/>
    <s v="Normal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n v="0"/>
    <x v="2"/>
    <x v="0"/>
    <s v="Mid (3K-7K)"/>
    <s v="Normal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n v="1"/>
    <x v="2"/>
    <x v="0"/>
    <s v="Mid (3K-7K)"/>
    <s v="Normal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n v="0"/>
    <x v="2"/>
    <x v="3"/>
    <s v="Low (&lt;3K)"/>
    <s v="Normal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n v="0"/>
    <x v="2"/>
    <x v="3"/>
    <s v="Low (&lt;3K)"/>
    <s v="Normal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n v="0"/>
    <x v="2"/>
    <x v="1"/>
    <s v="Mid (3K-7K)"/>
    <s v="Normal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n v="0"/>
    <x v="1"/>
    <x v="2"/>
    <s v="Very High (12K+)"/>
    <s v="Normal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n v="0"/>
    <x v="0"/>
    <x v="1"/>
    <s v="Very High (12K+)"/>
    <s v="High Risk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n v="0"/>
    <x v="3"/>
    <x v="3"/>
    <s v="Low (&lt;3K)"/>
    <s v="Normal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n v="1"/>
    <x v="2"/>
    <x v="1"/>
    <s v="Mid (3K-7K)"/>
    <s v="Normal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n v="1"/>
    <x v="0"/>
    <x v="0"/>
    <s v="Mid (3K-7K)"/>
    <s v="Normal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n v="0"/>
    <x v="2"/>
    <x v="0"/>
    <s v="Mid (3K-7K)"/>
    <s v="Normal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n v="0"/>
    <x v="0"/>
    <x v="0"/>
    <s v="High (7K-12K)"/>
    <s v="Normal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n v="0"/>
    <x v="1"/>
    <x v="0"/>
    <s v="Mid (3K-7K)"/>
    <s v="Normal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n v="0"/>
    <x v="2"/>
    <x v="0"/>
    <s v="Mid (3K-7K)"/>
    <s v="Normal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n v="0"/>
    <x v="1"/>
    <x v="3"/>
    <s v="Very High (12K+)"/>
    <s v="High Risk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n v="1"/>
    <x v="0"/>
    <x v="0"/>
    <s v="High (7K-12K)"/>
    <s v="High Risk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n v="1"/>
    <x v="1"/>
    <x v="0"/>
    <s v="High (7K-12K)"/>
    <s v="High Risk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n v="0"/>
    <x v="2"/>
    <x v="0"/>
    <s v="High (7K-12K)"/>
    <s v="High Risk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n v="0"/>
    <x v="0"/>
    <x v="0"/>
    <s v="Mid (3K-7K)"/>
    <s v="Normal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n v="0"/>
    <x v="2"/>
    <x v="1"/>
    <s v="High (7K-12K)"/>
    <s v="Normal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n v="0"/>
    <x v="0"/>
    <x v="1"/>
    <s v="Mid (3K-7K)"/>
    <s v="Normal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n v="1"/>
    <x v="2"/>
    <x v="3"/>
    <s v="Low (&lt;3K)"/>
    <s v="High Risk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n v="1"/>
    <x v="0"/>
    <x v="3"/>
    <s v="Low (&lt;3K)"/>
    <s v="Normal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n v="0"/>
    <x v="0"/>
    <x v="1"/>
    <s v="Very High (12K+)"/>
    <s v="Normal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n v="0"/>
    <x v="3"/>
    <x v="1"/>
    <s v="Very High (12K+)"/>
    <s v="Normal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n v="0"/>
    <x v="3"/>
    <x v="0"/>
    <s v="Very High (12K+)"/>
    <s v="Normal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n v="0"/>
    <x v="0"/>
    <x v="3"/>
    <s v="Mid (3K-7K)"/>
    <s v="Normal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n v="0"/>
    <x v="2"/>
    <x v="0"/>
    <s v="High (7K-12K)"/>
    <s v="Normal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n v="0"/>
    <x v="0"/>
    <x v="0"/>
    <s v="Mid (3K-7K)"/>
    <s v="Normal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n v="0"/>
    <x v="0"/>
    <x v="0"/>
    <s v="Mid (3K-7K)"/>
    <s v="Normal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n v="0"/>
    <x v="0"/>
    <x v="0"/>
    <s v="Mid (3K-7K)"/>
    <s v="Normal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n v="0"/>
    <x v="1"/>
    <x v="1"/>
    <s v="Very High (12K+)"/>
    <s v="High Risk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n v="0"/>
    <x v="0"/>
    <x v="0"/>
    <s v="Mid (3K-7K)"/>
    <s v="Normal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n v="0"/>
    <x v="2"/>
    <x v="1"/>
    <s v="Mid (3K-7K)"/>
    <s v="Normal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n v="0"/>
    <x v="2"/>
    <x v="3"/>
    <s v="Mid (3K-7K)"/>
    <s v="Normal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n v="1"/>
    <x v="3"/>
    <x v="1"/>
    <s v="High (7K-12K)"/>
    <s v="High Risk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n v="0"/>
    <x v="0"/>
    <x v="3"/>
    <s v="Low (&lt;3K)"/>
    <s v="Normal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n v="0"/>
    <x v="0"/>
    <x v="1"/>
    <s v="Mid (3K-7K)"/>
    <s v="Normal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n v="0"/>
    <x v="1"/>
    <x v="1"/>
    <s v="High (7K-12K)"/>
    <s v="Normal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n v="0"/>
    <x v="2"/>
    <x v="2"/>
    <s v="Low (&lt;3K)"/>
    <s v="Normal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n v="0"/>
    <x v="1"/>
    <x v="0"/>
    <s v="Very High (12K+)"/>
    <s v="Normal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n v="0"/>
    <x v="4"/>
    <x v="2"/>
    <s v="Low (&lt;3K)"/>
    <s v="Normal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n v="0"/>
    <x v="0"/>
    <x v="0"/>
    <s v="Mid (3K-7K)"/>
    <s v="Normal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n v="0"/>
    <x v="2"/>
    <x v="0"/>
    <s v="Mid (3K-7K)"/>
    <s v="Normal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n v="1"/>
    <x v="3"/>
    <x v="1"/>
    <s v="Very High (12K+)"/>
    <s v="Normal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n v="0"/>
    <x v="3"/>
    <x v="1"/>
    <s v="Very High (12K+)"/>
    <s v="High Risk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n v="0"/>
    <x v="2"/>
    <x v="0"/>
    <s v="Low (&lt;3K)"/>
    <s v="Normal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n v="0"/>
    <x v="0"/>
    <x v="1"/>
    <s v="Mid (3K-7K)"/>
    <s v="Normal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n v="0"/>
    <x v="2"/>
    <x v="0"/>
    <s v="Mid (3K-7K)"/>
    <s v="Normal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n v="1"/>
    <x v="2"/>
    <x v="2"/>
    <s v="Low (&lt;3K)"/>
    <s v="Normal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n v="1"/>
    <x v="0"/>
    <x v="3"/>
    <s v="Mid (3K-7K)"/>
    <s v="Normal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n v="0"/>
    <x v="0"/>
    <x v="3"/>
    <s v="Low (&lt;3K)"/>
    <s v="Normal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n v="0"/>
    <x v="2"/>
    <x v="1"/>
    <s v="Mid (3K-7K)"/>
    <s v="Normal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n v="0"/>
    <x v="2"/>
    <x v="0"/>
    <s v="Mid (3K-7K)"/>
    <s v="Normal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n v="1"/>
    <x v="2"/>
    <x v="1"/>
    <s v="Mid (3K-7K)"/>
    <s v="Normal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n v="0"/>
    <x v="0"/>
    <x v="0"/>
    <s v="Mid (3K-7K)"/>
    <s v="Normal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n v="0"/>
    <x v="1"/>
    <x v="3"/>
    <s v="High (7K-12K)"/>
    <s v="Normal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n v="0"/>
    <x v="0"/>
    <x v="0"/>
    <s v="Mid (3K-7K)"/>
    <s v="Normal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n v="0"/>
    <x v="0"/>
    <x v="0"/>
    <s v="Low (&lt;3K)"/>
    <s v="Normal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n v="0"/>
    <x v="2"/>
    <x v="0"/>
    <s v="High (7K-12K)"/>
    <s v="Normal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n v="0"/>
    <x v="2"/>
    <x v="3"/>
    <s v="Mid (3K-7K)"/>
    <s v="High Risk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n v="0"/>
    <x v="0"/>
    <x v="0"/>
    <s v="High (7K-12K)"/>
    <s v="Normal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n v="0"/>
    <x v="2"/>
    <x v="3"/>
    <s v="Mid (3K-7K)"/>
    <s v="Normal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n v="0"/>
    <x v="1"/>
    <x v="0"/>
    <s v="Very High (12K+)"/>
    <s v="Normal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n v="0"/>
    <x v="0"/>
    <x v="1"/>
    <s v="Mid (3K-7K)"/>
    <s v="Normal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n v="0"/>
    <x v="2"/>
    <x v="0"/>
    <s v="Mid (3K-7K)"/>
    <s v="Normal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n v="1"/>
    <x v="2"/>
    <x v="0"/>
    <s v="Low (&lt;3K)"/>
    <s v="Normal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n v="0"/>
    <x v="2"/>
    <x v="3"/>
    <s v="Mid (3K-7K)"/>
    <s v="Normal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n v="0"/>
    <x v="0"/>
    <x v="1"/>
    <s v="Very High (12K+)"/>
    <s v="Normal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n v="0"/>
    <x v="1"/>
    <x v="0"/>
    <s v="Low (&lt;3K)"/>
    <s v="Normal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n v="0"/>
    <x v="0"/>
    <x v="3"/>
    <s v="Mid (3K-7K)"/>
    <s v="Normal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n v="0"/>
    <x v="0"/>
    <x v="3"/>
    <s v="High (7K-12K)"/>
    <s v="Normal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n v="0"/>
    <x v="2"/>
    <x v="3"/>
    <s v="Mid (3K-7K)"/>
    <s v="Normal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n v="0"/>
    <x v="2"/>
    <x v="0"/>
    <s v="Mid (3K-7K)"/>
    <s v="Normal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n v="0"/>
    <x v="2"/>
    <x v="1"/>
    <s v="High (7K-12K)"/>
    <s v="Normal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n v="1"/>
    <x v="1"/>
    <x v="3"/>
    <s v="Mid (3K-7K)"/>
    <s v="Normal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n v="1"/>
    <x v="2"/>
    <x v="0"/>
    <s v="High (7K-12K)"/>
    <s v="Normal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n v="0"/>
    <x v="1"/>
    <x v="1"/>
    <s v="Very High (12K+)"/>
    <s v="Normal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n v="0"/>
    <x v="3"/>
    <x v="0"/>
    <s v="Very High (12K+)"/>
    <s v="High Risk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n v="0"/>
    <x v="3"/>
    <x v="0"/>
    <s v="Very High (12K+)"/>
    <s v="Normal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n v="0"/>
    <x v="0"/>
    <x v="0"/>
    <s v="High (7K-12K)"/>
    <s v="High Risk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n v="1"/>
    <x v="2"/>
    <x v="2"/>
    <s v="Low (&lt;3K)"/>
    <s v="Normal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n v="0"/>
    <x v="2"/>
    <x v="3"/>
    <s v="Mid (3K-7K)"/>
    <s v="Normal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n v="0"/>
    <x v="2"/>
    <x v="3"/>
    <s v="Very High (12K+)"/>
    <s v="Normal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n v="0"/>
    <x v="2"/>
    <x v="3"/>
    <s v="Low (&lt;3K)"/>
    <s v="Normal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n v="1"/>
    <x v="2"/>
    <x v="2"/>
    <s v="Low (&lt;3K)"/>
    <s v="Normal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n v="0"/>
    <x v="2"/>
    <x v="0"/>
    <s v="Low (&lt;3K)"/>
    <s v="Normal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n v="0"/>
    <x v="0"/>
    <x v="1"/>
    <s v="Mid (3K-7K)"/>
    <s v="Normal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n v="0"/>
    <x v="0"/>
    <x v="3"/>
    <s v="Mid (3K-7K)"/>
    <s v="Normal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n v="0"/>
    <x v="1"/>
    <x v="0"/>
    <s v="Mid (3K-7K)"/>
    <s v="Normal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n v="1"/>
    <x v="2"/>
    <x v="3"/>
    <s v="Mid (3K-7K)"/>
    <s v="Normal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n v="0"/>
    <x v="0"/>
    <x v="0"/>
    <s v="Mid (3K-7K)"/>
    <s v="Normal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n v="0"/>
    <x v="3"/>
    <x v="3"/>
    <s v="Low (&lt;3K)"/>
    <s v="Normal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n v="0"/>
    <x v="1"/>
    <x v="1"/>
    <s v="Very High (12K+)"/>
    <s v="Normal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n v="0"/>
    <x v="4"/>
    <x v="0"/>
    <s v="Mid (3K-7K)"/>
    <s v="Normal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n v="0"/>
    <x v="2"/>
    <x v="3"/>
    <s v="High (7K-12K)"/>
    <s v="Normal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n v="0"/>
    <x v="2"/>
    <x v="0"/>
    <s v="Mid (3K-7K)"/>
    <s v="Normal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n v="0"/>
    <x v="0"/>
    <x v="3"/>
    <s v="Low (&lt;3K)"/>
    <s v="Normal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n v="0"/>
    <x v="0"/>
    <x v="0"/>
    <s v="Mid (3K-7K)"/>
    <s v="Normal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n v="0"/>
    <x v="2"/>
    <x v="1"/>
    <s v="High (7K-12K)"/>
    <s v="Normal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n v="1"/>
    <x v="1"/>
    <x v="0"/>
    <s v="High (7K-12K)"/>
    <s v="Normal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n v="1"/>
    <x v="0"/>
    <x v="2"/>
    <s v="Mid (3K-7K)"/>
    <s v="High Risk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n v="1"/>
    <x v="2"/>
    <x v="1"/>
    <s v="High (7K-12K)"/>
    <s v="Normal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n v="0"/>
    <x v="1"/>
    <x v="0"/>
    <s v="High (7K-12K)"/>
    <s v="High Risk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n v="0"/>
    <x v="2"/>
    <x v="3"/>
    <s v="Low (&lt;3K)"/>
    <s v="Normal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n v="1"/>
    <x v="2"/>
    <x v="3"/>
    <s v="Mid (3K-7K)"/>
    <s v="Normal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n v="0"/>
    <x v="1"/>
    <x v="3"/>
    <s v="High (7K-12K)"/>
    <s v="Normal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n v="0"/>
    <x v="1"/>
    <x v="3"/>
    <s v="Mid (3K-7K)"/>
    <s v="Normal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n v="1"/>
    <x v="2"/>
    <x v="3"/>
    <s v="Low (&lt;3K)"/>
    <s v="Normal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n v="0"/>
    <x v="0"/>
    <x v="0"/>
    <s v="Very High (12K+)"/>
    <s v="Normal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n v="0"/>
    <x v="2"/>
    <x v="0"/>
    <s v="High (7K-12K)"/>
    <s v="Normal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n v="0"/>
    <x v="0"/>
    <x v="0"/>
    <s v="Mid (3K-7K)"/>
    <s v="Normal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n v="0"/>
    <x v="1"/>
    <x v="0"/>
    <s v="Very High (12K+)"/>
    <s v="Normal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n v="0"/>
    <x v="1"/>
    <x v="3"/>
    <s v="Mid (3K-7K)"/>
    <s v="Normal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n v="0"/>
    <x v="0"/>
    <x v="3"/>
    <s v="Low (&lt;3K)"/>
    <s v="Normal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n v="0"/>
    <x v="0"/>
    <x v="0"/>
    <s v="Mid (3K-7K)"/>
    <s v="Normal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n v="0"/>
    <x v="2"/>
    <x v="3"/>
    <s v="Mid (3K-7K)"/>
    <s v="Normal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n v="0"/>
    <x v="2"/>
    <x v="1"/>
    <s v="Mid (3K-7K)"/>
    <s v="Normal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n v="0"/>
    <x v="2"/>
    <x v="3"/>
    <s v="Mid (3K-7K)"/>
    <s v="Normal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n v="0"/>
    <x v="0"/>
    <x v="1"/>
    <s v="Mid (3K-7K)"/>
    <s v="Normal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n v="0"/>
    <x v="0"/>
    <x v="2"/>
    <s v="Mid (3K-7K)"/>
    <s v="Normal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n v="0"/>
    <x v="2"/>
    <x v="2"/>
    <s v="Low (&lt;3K)"/>
    <s v="Normal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n v="0"/>
    <x v="3"/>
    <x v="1"/>
    <s v="Mid (3K-7K)"/>
    <s v="Normal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n v="0"/>
    <x v="1"/>
    <x v="0"/>
    <s v="High (7K-12K)"/>
    <s v="Normal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n v="0"/>
    <x v="2"/>
    <x v="1"/>
    <s v="Very High (12K+)"/>
    <s v="Normal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n v="1"/>
    <x v="2"/>
    <x v="3"/>
    <s v="Low (&lt;3K)"/>
    <s v="Normal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n v="1"/>
    <x v="2"/>
    <x v="0"/>
    <s v="Mid (3K-7K)"/>
    <s v="Normal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n v="1"/>
    <x v="2"/>
    <x v="1"/>
    <s v="Mid (3K-7K)"/>
    <s v="High Risk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n v="0"/>
    <x v="0"/>
    <x v="2"/>
    <s v="Low (&lt;3K)"/>
    <s v="Normal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n v="1"/>
    <x v="4"/>
    <x v="2"/>
    <s v="Mid (3K-7K)"/>
    <s v="High Risk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n v="0"/>
    <x v="4"/>
    <x v="2"/>
    <s v="Low (&lt;3K)"/>
    <s v="Normal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n v="0"/>
    <x v="0"/>
    <x v="3"/>
    <s v="High (7K-12K)"/>
    <s v="Normal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n v="0"/>
    <x v="2"/>
    <x v="1"/>
    <s v="High (7K-12K)"/>
    <s v="Normal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n v="0"/>
    <x v="2"/>
    <x v="0"/>
    <s v="Low (&lt;3K)"/>
    <s v="Normal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n v="0"/>
    <x v="3"/>
    <x v="3"/>
    <s v="Mid (3K-7K)"/>
    <s v="Normal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n v="0"/>
    <x v="2"/>
    <x v="0"/>
    <s v="Mid (3K-7K)"/>
    <s v="Normal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n v="0"/>
    <x v="1"/>
    <x v="0"/>
    <s v="Mid (3K-7K)"/>
    <s v="Normal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n v="1"/>
    <x v="2"/>
    <x v="2"/>
    <s v="Low (&lt;3K)"/>
    <s v="Normal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n v="0"/>
    <x v="2"/>
    <x v="2"/>
    <s v="Low (&lt;3K)"/>
    <s v="Normal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n v="0"/>
    <x v="2"/>
    <x v="3"/>
    <s v="Mid (3K-7K)"/>
    <s v="Normal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n v="0"/>
    <x v="1"/>
    <x v="3"/>
    <s v="Mid (3K-7K)"/>
    <s v="Normal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n v="0"/>
    <x v="2"/>
    <x v="3"/>
    <s v="Mid (3K-7K)"/>
    <s v="Normal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n v="0"/>
    <x v="2"/>
    <x v="0"/>
    <s v="Mid (3K-7K)"/>
    <s v="Normal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n v="0"/>
    <x v="2"/>
    <x v="2"/>
    <s v="Mid (3K-7K)"/>
    <s v="Normal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n v="0"/>
    <x v="2"/>
    <x v="0"/>
    <s v="High (7K-12K)"/>
    <s v="Normal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n v="0"/>
    <x v="1"/>
    <x v="1"/>
    <s v="Very High (12K+)"/>
    <s v="Normal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n v="1"/>
    <x v="2"/>
    <x v="0"/>
    <s v="Low (&lt;3K)"/>
    <s v="Normal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n v="0"/>
    <x v="0"/>
    <x v="1"/>
    <s v="Very High (12K+)"/>
    <s v="Normal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n v="0"/>
    <x v="0"/>
    <x v="3"/>
    <s v="High (7K-12K)"/>
    <s v="Normal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n v="0"/>
    <x v="1"/>
    <x v="1"/>
    <s v="Very High (12K+)"/>
    <s v="Normal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n v="0"/>
    <x v="0"/>
    <x v="1"/>
    <s v="High (7K-12K)"/>
    <s v="Normal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n v="0"/>
    <x v="4"/>
    <x v="3"/>
    <s v="Low (&lt;3K)"/>
    <s v="Normal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n v="1"/>
    <x v="0"/>
    <x v="0"/>
    <s v="Low (&lt;3K)"/>
    <s v="Normal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n v="0"/>
    <x v="2"/>
    <x v="1"/>
    <s v="High (7K-12K)"/>
    <s v="Normal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n v="1"/>
    <x v="2"/>
    <x v="0"/>
    <s v="Mid (3K-7K)"/>
    <s v="Normal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n v="0"/>
    <x v="1"/>
    <x v="1"/>
    <s v="Very High (12K+)"/>
    <s v="Normal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n v="0"/>
    <x v="2"/>
    <x v="1"/>
    <s v="Low (&lt;3K)"/>
    <s v="Normal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n v="0"/>
    <x v="0"/>
    <x v="2"/>
    <s v="Mid (3K-7K)"/>
    <s v="Normal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n v="0"/>
    <x v="0"/>
    <x v="1"/>
    <s v="Mid (3K-7K)"/>
    <s v="Normal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n v="0"/>
    <x v="2"/>
    <x v="0"/>
    <s v="High (7K-12K)"/>
    <s v="Normal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n v="0"/>
    <x v="2"/>
    <x v="0"/>
    <s v="Mid (3K-7K)"/>
    <s v="Normal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n v="0"/>
    <x v="1"/>
    <x v="0"/>
    <s v="Low (&lt;3K)"/>
    <s v="Normal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n v="0"/>
    <x v="0"/>
    <x v="1"/>
    <s v="High (7K-12K)"/>
    <s v="Normal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n v="0"/>
    <x v="0"/>
    <x v="0"/>
    <s v="Mid (3K-7K)"/>
    <s v="Normal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n v="0"/>
    <x v="2"/>
    <x v="1"/>
    <s v="Mid (3K-7K)"/>
    <s v="Normal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n v="0"/>
    <x v="0"/>
    <x v="1"/>
    <s v="Very High (12K+)"/>
    <s v="Normal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n v="0"/>
    <x v="4"/>
    <x v="2"/>
    <s v="Low (&lt;3K)"/>
    <s v="Normal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n v="0"/>
    <x v="0"/>
    <x v="3"/>
    <s v="Mid (3K-7K)"/>
    <s v="Normal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n v="0"/>
    <x v="1"/>
    <x v="1"/>
    <s v="High (7K-12K)"/>
    <s v="Normal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n v="0"/>
    <x v="0"/>
    <x v="0"/>
    <s v="Low (&lt;3K)"/>
    <s v="Normal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n v="0"/>
    <x v="2"/>
    <x v="0"/>
    <s v="Mid (3K-7K)"/>
    <s v="Normal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n v="0"/>
    <x v="0"/>
    <x v="3"/>
    <s v="Low (&lt;3K)"/>
    <s v="Normal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n v="0"/>
    <x v="1"/>
    <x v="0"/>
    <s v="Mid (3K-7K)"/>
    <s v="Normal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n v="0"/>
    <x v="2"/>
    <x v="2"/>
    <s v="Low (&lt;3K)"/>
    <s v="Normal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n v="0"/>
    <x v="2"/>
    <x v="3"/>
    <s v="Mid (3K-7K)"/>
    <s v="Normal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n v="1"/>
    <x v="2"/>
    <x v="1"/>
    <s v="High (7K-12K)"/>
    <s v="Normal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n v="0"/>
    <x v="0"/>
    <x v="0"/>
    <s v="Mid (3K-7K)"/>
    <s v="Normal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n v="0"/>
    <x v="0"/>
    <x v="3"/>
    <s v="Low (&lt;3K)"/>
    <s v="Normal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n v="0"/>
    <x v="2"/>
    <x v="3"/>
    <s v="High (7K-12K)"/>
    <s v="Normal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n v="1"/>
    <x v="0"/>
    <x v="2"/>
    <s v="Low (&lt;3K)"/>
    <s v="High Risk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n v="1"/>
    <x v="1"/>
    <x v="1"/>
    <s v="High (7K-12K)"/>
    <s v="Normal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n v="1"/>
    <x v="0"/>
    <x v="0"/>
    <s v="Mid (3K-7K)"/>
    <s v="Normal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n v="0"/>
    <x v="2"/>
    <x v="0"/>
    <s v="Mid (3K-7K)"/>
    <s v="Normal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n v="0"/>
    <x v="1"/>
    <x v="0"/>
    <s v="Low (&lt;3K)"/>
    <s v="Normal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n v="0"/>
    <x v="2"/>
    <x v="2"/>
    <s v="Low (&lt;3K)"/>
    <s v="Normal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n v="0"/>
    <x v="3"/>
    <x v="1"/>
    <s v="Very High (12K+)"/>
    <s v="Normal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n v="0"/>
    <x v="2"/>
    <x v="3"/>
    <s v="Mid (3K-7K)"/>
    <s v="Normal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n v="0"/>
    <x v="2"/>
    <x v="2"/>
    <s v="Low (&lt;3K)"/>
    <s v="Normal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n v="0"/>
    <x v="0"/>
    <x v="0"/>
    <s v="High (7K-12K)"/>
    <s v="Normal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n v="0"/>
    <x v="0"/>
    <x v="3"/>
    <s v="Mid (3K-7K)"/>
    <s v="Normal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n v="0"/>
    <x v="0"/>
    <x v="2"/>
    <s v="Mid (3K-7K)"/>
    <s v="Normal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n v="0"/>
    <x v="2"/>
    <x v="1"/>
    <s v="Mid (3K-7K)"/>
    <s v="High Risk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n v="0"/>
    <x v="0"/>
    <x v="0"/>
    <s v="Mid (3K-7K)"/>
    <s v="Normal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n v="0"/>
    <x v="0"/>
    <x v="0"/>
    <s v="High (7K-12K)"/>
    <s v="Normal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n v="0"/>
    <x v="2"/>
    <x v="0"/>
    <s v="High (7K-12K)"/>
    <s v="Normal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n v="0"/>
    <x v="1"/>
    <x v="2"/>
    <s v="Very High (12K+)"/>
    <s v="Normal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n v="0"/>
    <x v="4"/>
    <x v="3"/>
    <s v="Low (&lt;3K)"/>
    <s v="Normal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n v="0"/>
    <x v="0"/>
    <x v="3"/>
    <s v="Mid (3K-7K)"/>
    <s v="High Risk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n v="0"/>
    <x v="0"/>
    <x v="2"/>
    <s v="Very High (12K+)"/>
    <s v="Normal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n v="0"/>
    <x v="0"/>
    <x v="1"/>
    <s v="Mid (3K-7K)"/>
    <s v="Normal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n v="0"/>
    <x v="2"/>
    <x v="0"/>
    <s v="Mid (3K-7K)"/>
    <s v="Normal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n v="0"/>
    <x v="0"/>
    <x v="0"/>
    <s v="Mid (3K-7K)"/>
    <s v="Normal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n v="0"/>
    <x v="0"/>
    <x v="0"/>
    <s v="Mid (3K-7K)"/>
    <s v="Normal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n v="0"/>
    <x v="0"/>
    <x v="2"/>
    <s v="Low (&lt;3K)"/>
    <s v="Normal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n v="0"/>
    <x v="1"/>
    <x v="1"/>
    <s v="Very High (12K+)"/>
    <s v="Normal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n v="1"/>
    <x v="2"/>
    <x v="2"/>
    <s v="Low (&lt;3K)"/>
    <s v="High Risk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n v="0"/>
    <x v="4"/>
    <x v="3"/>
    <s v="Low (&lt;3K)"/>
    <s v="Normal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n v="0"/>
    <x v="1"/>
    <x v="1"/>
    <s v="High (7K-12K)"/>
    <s v="Normal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n v="0"/>
    <x v="2"/>
    <x v="3"/>
    <s v="Mid (3K-7K)"/>
    <s v="Normal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n v="0"/>
    <x v="0"/>
    <x v="1"/>
    <s v="Very High (12K+)"/>
    <s v="Normal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n v="0"/>
    <x v="2"/>
    <x v="0"/>
    <s v="Low (&lt;3K)"/>
    <s v="Normal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n v="0"/>
    <x v="1"/>
    <x v="1"/>
    <s v="Mid (3K-7K)"/>
    <s v="High Risk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n v="0"/>
    <x v="1"/>
    <x v="1"/>
    <s v="Mid (3K-7K)"/>
    <s v="Normal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n v="0"/>
    <x v="2"/>
    <x v="0"/>
    <s v="Mid (3K-7K)"/>
    <s v="Normal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n v="0"/>
    <x v="0"/>
    <x v="3"/>
    <s v="Mid (3K-7K)"/>
    <s v="Normal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n v="0"/>
    <x v="2"/>
    <x v="0"/>
    <s v="Mid (3K-7K)"/>
    <s v="Normal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n v="0"/>
    <x v="1"/>
    <x v="0"/>
    <s v="Mid (3K-7K)"/>
    <s v="Normal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n v="0"/>
    <x v="0"/>
    <x v="0"/>
    <s v="Mid (3K-7K)"/>
    <s v="Normal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n v="0"/>
    <x v="2"/>
    <x v="0"/>
    <s v="Mid (3K-7K)"/>
    <s v="Normal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n v="0"/>
    <x v="0"/>
    <x v="1"/>
    <s v="Mid (3K-7K)"/>
    <s v="Normal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n v="0"/>
    <x v="2"/>
    <x v="0"/>
    <s v="Mid (3K-7K)"/>
    <s v="Normal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n v="0"/>
    <x v="4"/>
    <x v="3"/>
    <s v="Mid (3K-7K)"/>
    <s v="Normal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n v="1"/>
    <x v="4"/>
    <x v="2"/>
    <s v="Low (&lt;3K)"/>
    <s v="Normal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n v="0"/>
    <x v="1"/>
    <x v="0"/>
    <s v="Very High (12K+)"/>
    <s v="Normal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n v="0"/>
    <x v="0"/>
    <x v="1"/>
    <s v="Mid (3K-7K)"/>
    <s v="Normal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n v="0"/>
    <x v="0"/>
    <x v="1"/>
    <s v="High (7K-12K)"/>
    <s v="Normal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n v="0"/>
    <x v="0"/>
    <x v="1"/>
    <s v="Mid (3K-7K)"/>
    <s v="Normal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n v="0"/>
    <x v="0"/>
    <x v="3"/>
    <s v="Mid (3K-7K)"/>
    <s v="Normal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n v="0"/>
    <x v="0"/>
    <x v="0"/>
    <s v="Mid (3K-7K)"/>
    <s v="Normal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n v="0"/>
    <x v="1"/>
    <x v="1"/>
    <s v="Mid (3K-7K)"/>
    <s v="Normal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n v="0"/>
    <x v="0"/>
    <x v="0"/>
    <s v="High (7K-12K)"/>
    <s v="Normal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n v="1"/>
    <x v="0"/>
    <x v="1"/>
    <s v="High (7K-12K)"/>
    <s v="Normal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n v="0"/>
    <x v="0"/>
    <x v="0"/>
    <s v="Mid (3K-7K)"/>
    <s v="Normal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n v="0"/>
    <x v="0"/>
    <x v="3"/>
    <s v="High (7K-12K)"/>
    <s v="Normal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n v="0"/>
    <x v="0"/>
    <x v="1"/>
    <s v="Mid (3K-7K)"/>
    <s v="Normal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n v="0"/>
    <x v="1"/>
    <x v="3"/>
    <s v="Very High (12K+)"/>
    <s v="Normal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n v="1"/>
    <x v="0"/>
    <x v="3"/>
    <s v="Mid (3K-7K)"/>
    <s v="Normal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n v="0"/>
    <x v="4"/>
    <x v="0"/>
    <s v="Mid (3K-7K)"/>
    <s v="Normal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n v="0"/>
    <x v="2"/>
    <x v="3"/>
    <s v="Mid (3K-7K)"/>
    <s v="Normal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n v="0"/>
    <x v="2"/>
    <x v="3"/>
    <s v="Low (&lt;3K)"/>
    <s v="Normal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n v="1"/>
    <x v="0"/>
    <x v="3"/>
    <s v="Low (&lt;3K)"/>
    <s v="High Risk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n v="0"/>
    <x v="2"/>
    <x v="0"/>
    <s v="Mid (3K-7K)"/>
    <s v="Normal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n v="0"/>
    <x v="0"/>
    <x v="3"/>
    <s v="High (7K-12K)"/>
    <s v="Normal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n v="0"/>
    <x v="2"/>
    <x v="0"/>
    <s v="Mid (3K-7K)"/>
    <s v="Normal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n v="0"/>
    <x v="0"/>
    <x v="0"/>
    <s v="Mid (3K-7K)"/>
    <s v="Normal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n v="0"/>
    <x v="1"/>
    <x v="3"/>
    <s v="Very High (12K+)"/>
    <s v="Normal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n v="0"/>
    <x v="1"/>
    <x v="1"/>
    <s v="Very High (12K+)"/>
    <s v="Normal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n v="0"/>
    <x v="4"/>
    <x v="3"/>
    <s v="Low (&lt;3K)"/>
    <s v="Normal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n v="0"/>
    <x v="2"/>
    <x v="1"/>
    <s v="Mid (3K-7K)"/>
    <s v="Normal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n v="0"/>
    <x v="0"/>
    <x v="3"/>
    <s v="Low (&lt;3K)"/>
    <s v="Normal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n v="0"/>
    <x v="1"/>
    <x v="1"/>
    <s v="Very High (12K+)"/>
    <s v="Normal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n v="0"/>
    <x v="0"/>
    <x v="3"/>
    <s v="Mid (3K-7K)"/>
    <s v="Normal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n v="0"/>
    <x v="0"/>
    <x v="0"/>
    <s v="Mid (3K-7K)"/>
    <s v="Normal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n v="0"/>
    <x v="1"/>
    <x v="1"/>
    <s v="Very High (12K+)"/>
    <s v="Normal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n v="0"/>
    <x v="0"/>
    <x v="1"/>
    <s v="Very High (12K+)"/>
    <s v="Normal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n v="1"/>
    <x v="0"/>
    <x v="1"/>
    <s v="Mid (3K-7K)"/>
    <s v="Normal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n v="0"/>
    <x v="0"/>
    <x v="1"/>
    <s v="Mid (3K-7K)"/>
    <s v="Normal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n v="0"/>
    <x v="2"/>
    <x v="1"/>
    <s v="Mid (3K-7K)"/>
    <s v="High Risk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n v="0"/>
    <x v="2"/>
    <x v="0"/>
    <s v="Mid (3K-7K)"/>
    <s v="Normal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n v="0"/>
    <x v="2"/>
    <x v="0"/>
    <s v="Mid (3K-7K)"/>
    <s v="Normal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n v="0"/>
    <x v="2"/>
    <x v="1"/>
    <s v="Mid (3K-7K)"/>
    <s v="Normal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n v="0"/>
    <x v="1"/>
    <x v="3"/>
    <s v="Low (&lt;3K)"/>
    <s v="High Risk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n v="0"/>
    <x v="0"/>
    <x v="3"/>
    <s v="Low (&lt;3K)"/>
    <s v="Normal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n v="0"/>
    <x v="1"/>
    <x v="3"/>
    <s v="Very High (12K+)"/>
    <s v="Normal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n v="0"/>
    <x v="1"/>
    <x v="0"/>
    <s v="Very High (12K+)"/>
    <s v="Normal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n v="0"/>
    <x v="0"/>
    <x v="3"/>
    <s v="High (7K-12K)"/>
    <s v="Normal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n v="0"/>
    <x v="4"/>
    <x v="3"/>
    <s v="Low (&lt;3K)"/>
    <s v="Normal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n v="0"/>
    <x v="2"/>
    <x v="0"/>
    <s v="Mid (3K-7K)"/>
    <s v="Normal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n v="0"/>
    <x v="0"/>
    <x v="3"/>
    <s v="Mid (3K-7K)"/>
    <s v="Normal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n v="0"/>
    <x v="0"/>
    <x v="3"/>
    <s v="Mid (3K-7K)"/>
    <s v="Normal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n v="1"/>
    <x v="4"/>
    <x v="0"/>
    <s v="Mid (3K-7K)"/>
    <s v="Normal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n v="0"/>
    <x v="0"/>
    <x v="2"/>
    <s v="Mid (3K-7K)"/>
    <s v="Normal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n v="0"/>
    <x v="1"/>
    <x v="3"/>
    <s v="High (7K-12K)"/>
    <s v="Normal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n v="1"/>
    <x v="1"/>
    <x v="0"/>
    <s v="Low (&lt;3K)"/>
    <s v="Normal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n v="1"/>
    <x v="2"/>
    <x v="2"/>
    <s v="Low (&lt;3K)"/>
    <s v="Normal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n v="0"/>
    <x v="2"/>
    <x v="0"/>
    <s v="Low (&lt;3K)"/>
    <s v="Normal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n v="0"/>
    <x v="3"/>
    <x v="3"/>
    <s v="Mid (3K-7K)"/>
    <s v="Normal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n v="0"/>
    <x v="2"/>
    <x v="1"/>
    <s v="Mid (3K-7K)"/>
    <s v="Normal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n v="0"/>
    <x v="3"/>
    <x v="2"/>
    <s v="High (7K-12K)"/>
    <s v="Normal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n v="0"/>
    <x v="2"/>
    <x v="1"/>
    <s v="Low (&lt;3K)"/>
    <s v="Normal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n v="0"/>
    <x v="0"/>
    <x v="0"/>
    <s v="High (7K-12K)"/>
    <s v="Normal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n v="0"/>
    <x v="2"/>
    <x v="1"/>
    <s v="Low (&lt;3K)"/>
    <s v="Normal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n v="1"/>
    <x v="4"/>
    <x v="3"/>
    <s v="Low (&lt;3K)"/>
    <s v="Normal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n v="0"/>
    <x v="0"/>
    <x v="0"/>
    <s v="High (7K-12K)"/>
    <s v="Normal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n v="0"/>
    <x v="0"/>
    <x v="0"/>
    <s v="Mid (3K-7K)"/>
    <s v="Normal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n v="0"/>
    <x v="0"/>
    <x v="1"/>
    <s v="High (7K-12K)"/>
    <s v="Normal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n v="0"/>
    <x v="4"/>
    <x v="0"/>
    <s v="Mid (3K-7K)"/>
    <s v="Normal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n v="0"/>
    <x v="0"/>
    <x v="1"/>
    <s v="High (7K-12K)"/>
    <s v="Normal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n v="0"/>
    <x v="2"/>
    <x v="0"/>
    <s v="Low (&lt;3K)"/>
    <s v="Normal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n v="0"/>
    <x v="0"/>
    <x v="1"/>
    <s v="Mid (3K-7K)"/>
    <s v="Normal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n v="0"/>
    <x v="1"/>
    <x v="1"/>
    <s v="High (7K-12K)"/>
    <s v="Normal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n v="1"/>
    <x v="4"/>
    <x v="2"/>
    <s v="Low (&lt;3K)"/>
    <s v="Normal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n v="1"/>
    <x v="1"/>
    <x v="1"/>
    <s v="Very High (12K+)"/>
    <s v="Normal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n v="0"/>
    <x v="2"/>
    <x v="3"/>
    <s v="Low (&lt;3K)"/>
    <s v="Normal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n v="0"/>
    <x v="1"/>
    <x v="1"/>
    <s v="Very High (12K+)"/>
    <s v="Normal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n v="0"/>
    <x v="2"/>
    <x v="0"/>
    <s v="Mid (3K-7K)"/>
    <s v="Normal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n v="0"/>
    <x v="2"/>
    <x v="0"/>
    <s v="Mid (3K-7K)"/>
    <s v="Normal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n v="0"/>
    <x v="0"/>
    <x v="3"/>
    <s v="Mid (3K-7K)"/>
    <s v="Normal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n v="0"/>
    <x v="0"/>
    <x v="2"/>
    <s v="Mid (3K-7K)"/>
    <s v="High Risk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n v="0"/>
    <x v="4"/>
    <x v="0"/>
    <s v="Mid (3K-7K)"/>
    <s v="Normal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n v="0"/>
    <x v="1"/>
    <x v="1"/>
    <s v="Mid (3K-7K)"/>
    <s v="Normal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n v="0"/>
    <x v="0"/>
    <x v="0"/>
    <s v="Mid (3K-7K)"/>
    <s v="Normal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n v="0"/>
    <x v="2"/>
    <x v="1"/>
    <s v="Low (&lt;3K)"/>
    <s v="Normal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n v="0"/>
    <x v="1"/>
    <x v="2"/>
    <s v="Mid (3K-7K)"/>
    <s v="Normal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n v="0"/>
    <x v="1"/>
    <x v="1"/>
    <s v="High (7K-12K)"/>
    <s v="Normal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n v="1"/>
    <x v="0"/>
    <x v="3"/>
    <s v="Mid (3K-7K)"/>
    <s v="High Risk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n v="1"/>
    <x v="2"/>
    <x v="2"/>
    <s v="Mid (3K-7K)"/>
    <s v="Normal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n v="0"/>
    <x v="4"/>
    <x v="3"/>
    <s v="Mid (3K-7K)"/>
    <s v="Normal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n v="0"/>
    <x v="2"/>
    <x v="0"/>
    <s v="Mid (3K-7K)"/>
    <s v="Normal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n v="0"/>
    <x v="0"/>
    <x v="0"/>
    <s v="Mid (3K-7K)"/>
    <s v="Normal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n v="0"/>
    <x v="2"/>
    <x v="3"/>
    <s v="High (7K-12K)"/>
    <s v="Normal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n v="0"/>
    <x v="0"/>
    <x v="1"/>
    <s v="Very High (12K+)"/>
    <s v="Normal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n v="0"/>
    <x v="1"/>
    <x v="0"/>
    <s v="High (7K-12K)"/>
    <s v="Normal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n v="0"/>
    <x v="2"/>
    <x v="0"/>
    <s v="Mid (3K-7K)"/>
    <s v="Normal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n v="0"/>
    <x v="4"/>
    <x v="3"/>
    <s v="Low (&lt;3K)"/>
    <s v="Normal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n v="1"/>
    <x v="2"/>
    <x v="3"/>
    <s v="Low (&lt;3K)"/>
    <s v="Normal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n v="0"/>
    <x v="2"/>
    <x v="0"/>
    <s v="High (7K-12K)"/>
    <s v="Normal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n v="0"/>
    <x v="2"/>
    <x v="0"/>
    <s v="Mid (3K-7K)"/>
    <s v="Normal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n v="1"/>
    <x v="2"/>
    <x v="3"/>
    <s v="Low (&lt;3K)"/>
    <s v="Normal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n v="0"/>
    <x v="2"/>
    <x v="3"/>
    <s v="Mid (3K-7K)"/>
    <s v="Normal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n v="0"/>
    <x v="2"/>
    <x v="0"/>
    <s v="High (7K-12K)"/>
    <s v="Normal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n v="0"/>
    <x v="2"/>
    <x v="0"/>
    <s v="Low (&lt;3K)"/>
    <s v="Normal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n v="0"/>
    <x v="2"/>
    <x v="1"/>
    <s v="Mid (3K-7K)"/>
    <s v="Normal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n v="0"/>
    <x v="1"/>
    <x v="0"/>
    <s v="Mid (3K-7K)"/>
    <s v="Normal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n v="1"/>
    <x v="2"/>
    <x v="2"/>
    <s v="High (7K-12K)"/>
    <s v="High Risk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n v="0"/>
    <x v="0"/>
    <x v="0"/>
    <s v="Low (&lt;3K)"/>
    <s v="Normal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n v="1"/>
    <x v="2"/>
    <x v="2"/>
    <s v="High (7K-12K)"/>
    <s v="Normal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n v="0"/>
    <x v="2"/>
    <x v="2"/>
    <s v="Low (&lt;3K)"/>
    <s v="Normal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n v="0"/>
    <x v="2"/>
    <x v="0"/>
    <s v="Mid (3K-7K)"/>
    <s v="Normal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n v="0"/>
    <x v="2"/>
    <x v="0"/>
    <s v="Low (&lt;3K)"/>
    <s v="Normal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n v="0"/>
    <x v="0"/>
    <x v="2"/>
    <s v="Mid (3K-7K)"/>
    <s v="Normal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n v="1"/>
    <x v="0"/>
    <x v="2"/>
    <s v="Low (&lt;3K)"/>
    <s v="Normal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n v="0"/>
    <x v="0"/>
    <x v="0"/>
    <s v="Low (&lt;3K)"/>
    <s v="Normal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n v="0"/>
    <x v="3"/>
    <x v="2"/>
    <s v="Very High (12K+)"/>
    <s v="Normal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n v="0"/>
    <x v="2"/>
    <x v="0"/>
    <s v="Mid (3K-7K)"/>
    <s v="Normal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n v="0"/>
    <x v="0"/>
    <x v="0"/>
    <s v="Low (&lt;3K)"/>
    <s v="Normal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n v="0"/>
    <x v="2"/>
    <x v="1"/>
    <s v="Mid (3K-7K)"/>
    <s v="Normal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n v="0"/>
    <x v="1"/>
    <x v="3"/>
    <s v="Very High (12K+)"/>
    <s v="Normal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n v="0"/>
    <x v="0"/>
    <x v="0"/>
    <s v="Mid (3K-7K)"/>
    <s v="Normal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n v="0"/>
    <x v="2"/>
    <x v="3"/>
    <s v="Mid (3K-7K)"/>
    <s v="Normal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n v="1"/>
    <x v="4"/>
    <x v="2"/>
    <s v="Low (&lt;3K)"/>
    <s v="Normal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n v="0"/>
    <x v="0"/>
    <x v="0"/>
    <s v="Mid (3K-7K)"/>
    <s v="Normal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n v="1"/>
    <x v="4"/>
    <x v="2"/>
    <s v="Low (&lt;3K)"/>
    <s v="High Risk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n v="0"/>
    <x v="2"/>
    <x v="1"/>
    <s v="Mid (3K-7K)"/>
    <s v="Normal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n v="0"/>
    <x v="1"/>
    <x v="3"/>
    <s v="Very High (12K+)"/>
    <s v="Normal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n v="0"/>
    <x v="0"/>
    <x v="0"/>
    <s v="Mid (3K-7K)"/>
    <s v="Normal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n v="0"/>
    <x v="1"/>
    <x v="3"/>
    <s v="Very High (12K+)"/>
    <s v="Normal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n v="0"/>
    <x v="0"/>
    <x v="1"/>
    <s v="High (7K-12K)"/>
    <s v="High Risk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n v="1"/>
    <x v="0"/>
    <x v="0"/>
    <s v="Low (&lt;3K)"/>
    <s v="High Risk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n v="0"/>
    <x v="0"/>
    <x v="1"/>
    <s v="Mid (3K-7K)"/>
    <s v="Normal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n v="1"/>
    <x v="0"/>
    <x v="1"/>
    <s v="Mid (3K-7K)"/>
    <s v="Normal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n v="0"/>
    <x v="2"/>
    <x v="1"/>
    <s v="Mid (3K-7K)"/>
    <s v="Normal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n v="0"/>
    <x v="2"/>
    <x v="0"/>
    <s v="Low (&lt;3K)"/>
    <s v="Normal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n v="0"/>
    <x v="0"/>
    <x v="3"/>
    <s v="Very High (12K+)"/>
    <s v="Normal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n v="0"/>
    <x v="1"/>
    <x v="3"/>
    <s v="High (7K-12K)"/>
    <s v="Normal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n v="0"/>
    <x v="0"/>
    <x v="3"/>
    <s v="Mid (3K-7K)"/>
    <s v="Normal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n v="0"/>
    <x v="0"/>
    <x v="2"/>
    <s v="Mid (3K-7K)"/>
    <s v="Normal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n v="0"/>
    <x v="0"/>
    <x v="0"/>
    <s v="Mid (3K-7K)"/>
    <s v="Normal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n v="0"/>
    <x v="0"/>
    <x v="1"/>
    <s v="Low (&lt;3K)"/>
    <s v="Normal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n v="1"/>
    <x v="2"/>
    <x v="0"/>
    <s v="Mid (3K-7K)"/>
    <s v="Normal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n v="1"/>
    <x v="0"/>
    <x v="1"/>
    <s v="Mid (3K-7K)"/>
    <s v="Normal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n v="0"/>
    <x v="0"/>
    <x v="3"/>
    <s v="Mid (3K-7K)"/>
    <s v="Normal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n v="0"/>
    <x v="0"/>
    <x v="3"/>
    <s v="Low (&lt;3K)"/>
    <s v="Normal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n v="0"/>
    <x v="0"/>
    <x v="3"/>
    <s v="Mid (3K-7K)"/>
    <s v="Normal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n v="0"/>
    <x v="0"/>
    <x v="1"/>
    <s v="High (7K-12K)"/>
    <s v="Normal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n v="0"/>
    <x v="2"/>
    <x v="0"/>
    <s v="High (7K-12K)"/>
    <s v="Normal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n v="1"/>
    <x v="2"/>
    <x v="0"/>
    <s v="Low (&lt;3K)"/>
    <s v="High Risk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n v="1"/>
    <x v="1"/>
    <x v="0"/>
    <s v="High (7K-12K)"/>
    <s v="Normal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n v="0"/>
    <x v="0"/>
    <x v="0"/>
    <s v="Mid (3K-7K)"/>
    <s v="Normal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n v="0"/>
    <x v="2"/>
    <x v="1"/>
    <s v="Mid (3K-7K)"/>
    <s v="Normal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n v="0"/>
    <x v="3"/>
    <x v="1"/>
    <s v="Very High (12K+)"/>
    <s v="Normal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n v="0"/>
    <x v="0"/>
    <x v="0"/>
    <s v="Low (&lt;3K)"/>
    <s v="Normal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n v="0"/>
    <x v="1"/>
    <x v="1"/>
    <s v="High (7K-12K)"/>
    <s v="High Risk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n v="0"/>
    <x v="0"/>
    <x v="0"/>
    <s v="Mid (3K-7K)"/>
    <s v="Normal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n v="0"/>
    <x v="1"/>
    <x v="0"/>
    <s v="Mid (3K-7K)"/>
    <s v="Normal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n v="0"/>
    <x v="2"/>
    <x v="3"/>
    <s v="High (7K-12K)"/>
    <s v="Normal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n v="0"/>
    <x v="2"/>
    <x v="3"/>
    <s v="Mid (3K-7K)"/>
    <s v="Normal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n v="0"/>
    <x v="0"/>
    <x v="3"/>
    <s v="Mid (3K-7K)"/>
    <s v="Normal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n v="0"/>
    <x v="2"/>
    <x v="0"/>
    <s v="Mid (3K-7K)"/>
    <s v="Normal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n v="0"/>
    <x v="3"/>
    <x v="3"/>
    <s v="Very High (12K+)"/>
    <s v="Normal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n v="0"/>
    <x v="4"/>
    <x v="2"/>
    <s v="Low (&lt;3K)"/>
    <s v="Normal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n v="1"/>
    <x v="2"/>
    <x v="2"/>
    <s v="Low (&lt;3K)"/>
    <s v="Normal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n v="1"/>
    <x v="2"/>
    <x v="3"/>
    <s v="Low (&lt;3K)"/>
    <s v="High Risk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n v="0"/>
    <x v="1"/>
    <x v="0"/>
    <s v="Mid (3K-7K)"/>
    <s v="Normal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n v="0"/>
    <x v="0"/>
    <x v="2"/>
    <s v="Mid (3K-7K)"/>
    <s v="High Risk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n v="0"/>
    <x v="0"/>
    <x v="0"/>
    <s v="Mid (3K-7K)"/>
    <s v="Normal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n v="0"/>
    <x v="2"/>
    <x v="0"/>
    <s v="Low (&lt;3K)"/>
    <s v="Normal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n v="0"/>
    <x v="2"/>
    <x v="1"/>
    <s v="Mid (3K-7K)"/>
    <s v="Normal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n v="0"/>
    <x v="2"/>
    <x v="2"/>
    <s v="Mid (3K-7K)"/>
    <s v="Normal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n v="0"/>
    <x v="0"/>
    <x v="0"/>
    <s v="Low (&lt;3K)"/>
    <s v="Normal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n v="0"/>
    <x v="1"/>
    <x v="3"/>
    <s v="Low (&lt;3K)"/>
    <s v="Normal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n v="0"/>
    <x v="1"/>
    <x v="0"/>
    <s v="High (7K-12K)"/>
    <s v="Normal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n v="0"/>
    <x v="2"/>
    <x v="3"/>
    <s v="Low (&lt;3K)"/>
    <s v="Normal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n v="0"/>
    <x v="2"/>
    <x v="0"/>
    <s v="Mid (3K-7K)"/>
    <s v="Normal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n v="0"/>
    <x v="0"/>
    <x v="2"/>
    <s v="Mid (3K-7K)"/>
    <s v="Normal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n v="1"/>
    <x v="2"/>
    <x v="3"/>
    <s v="High (7K-12K)"/>
    <s v="High Risk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n v="0"/>
    <x v="1"/>
    <x v="1"/>
    <s v="Very High (12K+)"/>
    <s v="Normal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n v="0"/>
    <x v="2"/>
    <x v="0"/>
    <s v="Mid (3K-7K)"/>
    <s v="Normal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n v="0"/>
    <x v="2"/>
    <x v="2"/>
    <s v="Low (&lt;3K)"/>
    <s v="Normal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n v="0"/>
    <x v="0"/>
    <x v="1"/>
    <s v="Very High (12K+)"/>
    <s v="Normal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n v="0"/>
    <x v="1"/>
    <x v="1"/>
    <s v="Very High (12K+)"/>
    <s v="Normal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n v="1"/>
    <x v="2"/>
    <x v="2"/>
    <s v="Low (&lt;3K)"/>
    <s v="Normal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n v="1"/>
    <x v="1"/>
    <x v="0"/>
    <s v="High (7K-12K)"/>
    <s v="Normal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n v="0"/>
    <x v="2"/>
    <x v="0"/>
    <s v="Mid (3K-7K)"/>
    <s v="Normal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n v="0"/>
    <x v="0"/>
    <x v="3"/>
    <s v="Mid (3K-7K)"/>
    <s v="Normal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n v="0"/>
    <x v="3"/>
    <x v="0"/>
    <s v="Low (&lt;3K)"/>
    <s v="Normal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n v="0"/>
    <x v="2"/>
    <x v="2"/>
    <s v="Low (&lt;3K)"/>
    <s v="Normal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n v="1"/>
    <x v="2"/>
    <x v="2"/>
    <s v="Low (&lt;3K)"/>
    <s v="Normal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n v="1"/>
    <x v="4"/>
    <x v="2"/>
    <s v="Low (&lt;3K)"/>
    <s v="High Risk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n v="0"/>
    <x v="0"/>
    <x v="1"/>
    <s v="Mid (3K-7K)"/>
    <s v="Normal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n v="0"/>
    <x v="2"/>
    <x v="1"/>
    <s v="Mid (3K-7K)"/>
    <s v="Normal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n v="0"/>
    <x v="2"/>
    <x v="0"/>
    <s v="High (7K-12K)"/>
    <s v="Normal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n v="0"/>
    <x v="2"/>
    <x v="3"/>
    <s v="Low (&lt;3K)"/>
    <s v="Normal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n v="0"/>
    <x v="0"/>
    <x v="0"/>
    <s v="Mid (3K-7K)"/>
    <s v="High Risk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n v="0"/>
    <x v="0"/>
    <x v="3"/>
    <s v="Mid (3K-7K)"/>
    <s v="High Risk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n v="0"/>
    <x v="1"/>
    <x v="0"/>
    <s v="Mid (3K-7K)"/>
    <s v="Normal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n v="0"/>
    <x v="0"/>
    <x v="1"/>
    <s v="Mid (3K-7K)"/>
    <s v="Normal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n v="0"/>
    <x v="0"/>
    <x v="1"/>
    <s v="Very High (12K+)"/>
    <s v="Normal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n v="0"/>
    <x v="2"/>
    <x v="2"/>
    <s v="Low (&lt;3K)"/>
    <s v="Normal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n v="0"/>
    <x v="2"/>
    <x v="0"/>
    <s v="Mid (3K-7K)"/>
    <s v="Normal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n v="0"/>
    <x v="1"/>
    <x v="1"/>
    <s v="Very High (12K+)"/>
    <s v="Normal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n v="0"/>
    <x v="0"/>
    <x v="3"/>
    <s v="Mid (3K-7K)"/>
    <s v="Normal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n v="1"/>
    <x v="2"/>
    <x v="0"/>
    <s v="Low (&lt;3K)"/>
    <s v="High Risk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n v="1"/>
    <x v="3"/>
    <x v="3"/>
    <s v="Low (&lt;3K)"/>
    <s v="Normal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n v="0"/>
    <x v="0"/>
    <x v="3"/>
    <s v="Mid (3K-7K)"/>
    <s v="Normal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n v="0"/>
    <x v="0"/>
    <x v="0"/>
    <s v="Mid (3K-7K)"/>
    <s v="Normal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n v="0"/>
    <x v="0"/>
    <x v="1"/>
    <s v="Very High (12K+)"/>
    <s v="Normal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n v="0"/>
    <x v="2"/>
    <x v="0"/>
    <s v="Mid (3K-7K)"/>
    <s v="Normal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n v="0"/>
    <x v="2"/>
    <x v="3"/>
    <s v="High (7K-12K)"/>
    <s v="Normal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n v="0"/>
    <x v="2"/>
    <x v="3"/>
    <s v="Mid (3K-7K)"/>
    <s v="Normal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n v="0"/>
    <x v="2"/>
    <x v="0"/>
    <s v="Low (&lt;3K)"/>
    <s v="Normal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n v="0"/>
    <x v="1"/>
    <x v="3"/>
    <s v="Mid (3K-7K)"/>
    <s v="Normal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n v="0"/>
    <x v="2"/>
    <x v="1"/>
    <s v="Mid (3K-7K)"/>
    <s v="Normal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n v="0"/>
    <x v="2"/>
    <x v="0"/>
    <s v="Mid (3K-7K)"/>
    <s v="Normal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n v="1"/>
    <x v="2"/>
    <x v="2"/>
    <s v="Low (&lt;3K)"/>
    <s v="Normal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n v="0"/>
    <x v="0"/>
    <x v="3"/>
    <s v="Mid (3K-7K)"/>
    <s v="Normal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n v="0"/>
    <x v="2"/>
    <x v="0"/>
    <s v="Low (&lt;3K)"/>
    <s v="Normal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n v="0"/>
    <x v="2"/>
    <x v="1"/>
    <s v="Mid (3K-7K)"/>
    <s v="Normal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n v="1"/>
    <x v="2"/>
    <x v="3"/>
    <s v="High (7K-12K)"/>
    <s v="Normal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n v="0"/>
    <x v="1"/>
    <x v="0"/>
    <s v="Mid (3K-7K)"/>
    <s v="Normal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n v="0"/>
    <x v="3"/>
    <x v="2"/>
    <s v="Mid (3K-7K)"/>
    <s v="Normal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n v="0"/>
    <x v="0"/>
    <x v="1"/>
    <s v="Mid (3K-7K)"/>
    <s v="Normal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n v="0"/>
    <x v="0"/>
    <x v="1"/>
    <s v="Low (&lt;3K)"/>
    <s v="High Risk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n v="0"/>
    <x v="3"/>
    <x v="2"/>
    <s v="Very High (12K+)"/>
    <s v="Normal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n v="1"/>
    <x v="2"/>
    <x v="3"/>
    <s v="Low (&lt;3K)"/>
    <s v="Normal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n v="0"/>
    <x v="0"/>
    <x v="0"/>
    <s v="Mid (3K-7K)"/>
    <s v="Normal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n v="0"/>
    <x v="1"/>
    <x v="0"/>
    <s v="Very High (12K+)"/>
    <s v="Normal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n v="0"/>
    <x v="0"/>
    <x v="2"/>
    <s v="Mid (3K-7K)"/>
    <s v="Normal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n v="1"/>
    <x v="2"/>
    <x v="2"/>
    <s v="Low (&lt;3K)"/>
    <s v="Normal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n v="0"/>
    <x v="0"/>
    <x v="0"/>
    <s v="Mid (3K-7K)"/>
    <s v="Normal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n v="0"/>
    <x v="2"/>
    <x v="0"/>
    <s v="Low (&lt;3K)"/>
    <s v="Normal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n v="0"/>
    <x v="2"/>
    <x v="3"/>
    <s v="Mid (3K-7K)"/>
    <s v="High Risk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n v="0"/>
    <x v="0"/>
    <x v="0"/>
    <s v="Low (&lt;3K)"/>
    <s v="Normal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n v="0"/>
    <x v="2"/>
    <x v="1"/>
    <s v="High (7K-12K)"/>
    <s v="Normal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n v="0"/>
    <x v="2"/>
    <x v="0"/>
    <s v="High (7K-12K)"/>
    <s v="Normal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n v="0"/>
    <x v="2"/>
    <x v="0"/>
    <s v="Low (&lt;3K)"/>
    <s v="Normal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n v="0"/>
    <x v="2"/>
    <x v="0"/>
    <s v="Mid (3K-7K)"/>
    <s v="Normal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n v="0"/>
    <x v="2"/>
    <x v="0"/>
    <s v="Mid (3K-7K)"/>
    <s v="Normal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n v="0"/>
    <x v="2"/>
    <x v="1"/>
    <s v="Mid (3K-7K)"/>
    <s v="Normal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n v="1"/>
    <x v="2"/>
    <x v="3"/>
    <s v="Low (&lt;3K)"/>
    <s v="Normal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n v="0"/>
    <x v="0"/>
    <x v="2"/>
    <s v="Low (&lt;3K)"/>
    <s v="Normal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n v="0"/>
    <x v="0"/>
    <x v="1"/>
    <s v="Mid (3K-7K)"/>
    <s v="Normal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n v="0"/>
    <x v="2"/>
    <x v="0"/>
    <s v="Mid (3K-7K)"/>
    <s v="Normal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n v="0"/>
    <x v="2"/>
    <x v="2"/>
    <s v="High (7K-12K)"/>
    <s v="Normal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n v="1"/>
    <x v="2"/>
    <x v="1"/>
    <s v="Mid (3K-7K)"/>
    <s v="Normal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n v="1"/>
    <x v="1"/>
    <x v="3"/>
    <s v="High (7K-12K)"/>
    <s v="High Risk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n v="0"/>
    <x v="1"/>
    <x v="3"/>
    <s v="Low (&lt;3K)"/>
    <s v="Normal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n v="0"/>
    <x v="2"/>
    <x v="0"/>
    <s v="Mid (3K-7K)"/>
    <s v="Normal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n v="0"/>
    <x v="0"/>
    <x v="1"/>
    <s v="High (7K-12K)"/>
    <s v="Normal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n v="0"/>
    <x v="0"/>
    <x v="0"/>
    <s v="Low (&lt;3K)"/>
    <s v="High Risk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n v="0"/>
    <x v="3"/>
    <x v="1"/>
    <s v="Very High (12K+)"/>
    <s v="High Risk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n v="0"/>
    <x v="2"/>
    <x v="2"/>
    <s v="Low (&lt;3K)"/>
    <s v="Normal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n v="0"/>
    <x v="0"/>
    <x v="1"/>
    <s v="Very High (12K+)"/>
    <s v="Normal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n v="0"/>
    <x v="0"/>
    <x v="1"/>
    <s v="Mid (3K-7K)"/>
    <s v="Normal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n v="0"/>
    <x v="2"/>
    <x v="1"/>
    <s v="High (7K-12K)"/>
    <s v="Normal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n v="0"/>
    <x v="1"/>
    <x v="0"/>
    <s v="Mid (3K-7K)"/>
    <s v="High Risk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n v="0"/>
    <x v="4"/>
    <x v="3"/>
    <s v="Mid (3K-7K)"/>
    <s v="Normal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n v="0"/>
    <x v="4"/>
    <x v="0"/>
    <s v="Low (&lt;3K)"/>
    <s v="Normal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n v="0"/>
    <x v="0"/>
    <x v="1"/>
    <s v="Mid (3K-7K)"/>
    <s v="Normal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n v="0"/>
    <x v="0"/>
    <x v="1"/>
    <s v="Mid (3K-7K)"/>
    <s v="Normal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n v="0"/>
    <x v="2"/>
    <x v="3"/>
    <s v="Low (&lt;3K)"/>
    <s v="Normal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n v="0"/>
    <x v="2"/>
    <x v="1"/>
    <s v="Mid (3K-7K)"/>
    <s v="Normal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n v="0"/>
    <x v="2"/>
    <x v="3"/>
    <s v="Mid (3K-7K)"/>
    <s v="Normal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n v="0"/>
    <x v="1"/>
    <x v="1"/>
    <s v="High (7K-12K)"/>
    <s v="Normal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n v="0"/>
    <x v="2"/>
    <x v="2"/>
    <s v="Low (&lt;3K)"/>
    <s v="Normal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n v="0"/>
    <x v="0"/>
    <x v="1"/>
    <s v="Mid (3K-7K)"/>
    <s v="Normal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n v="0"/>
    <x v="2"/>
    <x v="3"/>
    <s v="Mid (3K-7K)"/>
    <s v="Normal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n v="0"/>
    <x v="0"/>
    <x v="0"/>
    <s v="Mid (3K-7K)"/>
    <s v="Normal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n v="0"/>
    <x v="0"/>
    <x v="3"/>
    <s v="Mid (3K-7K)"/>
    <s v="High Risk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n v="0"/>
    <x v="0"/>
    <x v="0"/>
    <s v="Low (&lt;3K)"/>
    <s v="Normal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n v="0"/>
    <x v="1"/>
    <x v="1"/>
    <s v="High (7K-12K)"/>
    <s v="Normal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n v="0"/>
    <x v="0"/>
    <x v="3"/>
    <s v="Low (&lt;3K)"/>
    <s v="Normal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n v="0"/>
    <x v="4"/>
    <x v="3"/>
    <s v="Mid (3K-7K)"/>
    <s v="Normal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n v="0"/>
    <x v="0"/>
    <x v="1"/>
    <s v="Mid (3K-7K)"/>
    <s v="Normal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n v="0"/>
    <x v="2"/>
    <x v="0"/>
    <s v="Mid (3K-7K)"/>
    <s v="Normal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n v="0"/>
    <x v="2"/>
    <x v="0"/>
    <s v="Low (&lt;3K)"/>
    <s v="Normal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n v="0"/>
    <x v="0"/>
    <x v="2"/>
    <s v="Low (&lt;3K)"/>
    <s v="Normal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n v="0"/>
    <x v="2"/>
    <x v="3"/>
    <s v="Low (&lt;3K)"/>
    <s v="Normal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n v="0"/>
    <x v="0"/>
    <x v="0"/>
    <s v="Mid (3K-7K)"/>
    <s v="Normal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n v="0"/>
    <x v="0"/>
    <x v="1"/>
    <s v="Very High (12K+)"/>
    <s v="Normal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n v="0"/>
    <x v="2"/>
    <x v="1"/>
    <s v="High (7K-12K)"/>
    <s v="Normal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n v="0"/>
    <x v="0"/>
    <x v="1"/>
    <s v="Very High (12K+)"/>
    <s v="Normal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n v="0"/>
    <x v="2"/>
    <x v="0"/>
    <s v="Mid (3K-7K)"/>
    <s v="Normal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n v="0"/>
    <x v="1"/>
    <x v="0"/>
    <s v="Mid (3K-7K)"/>
    <s v="Normal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n v="0"/>
    <x v="0"/>
    <x v="3"/>
    <s v="Low (&lt;3K)"/>
    <s v="Normal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n v="0"/>
    <x v="4"/>
    <x v="3"/>
    <s v="Low (&lt;3K)"/>
    <s v="High Risk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n v="0"/>
    <x v="0"/>
    <x v="0"/>
    <s v="Very High (12K+)"/>
    <s v="Normal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n v="1"/>
    <x v="4"/>
    <x v="2"/>
    <s v="Low (&lt;3K)"/>
    <s v="Normal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n v="0"/>
    <x v="0"/>
    <x v="0"/>
    <s v="High (7K-12K)"/>
    <s v="Normal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n v="0"/>
    <x v="0"/>
    <x v="3"/>
    <s v="Mid (3K-7K)"/>
    <s v="Normal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n v="0"/>
    <x v="3"/>
    <x v="1"/>
    <s v="Mid (3K-7K)"/>
    <s v="Normal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n v="1"/>
    <x v="2"/>
    <x v="3"/>
    <s v="Mid (3K-7K)"/>
    <s v="Normal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n v="0"/>
    <x v="0"/>
    <x v="1"/>
    <s v="Very High (12K+)"/>
    <s v="Normal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n v="1"/>
    <x v="3"/>
    <x v="1"/>
    <s v="Low (&lt;3K)"/>
    <s v="Normal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n v="0"/>
    <x v="0"/>
    <x v="1"/>
    <s v="Very High (12K+)"/>
    <s v="Normal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n v="0"/>
    <x v="2"/>
    <x v="0"/>
    <s v="Mid (3K-7K)"/>
    <s v="Normal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n v="0"/>
    <x v="0"/>
    <x v="1"/>
    <s v="Mid (3K-7K)"/>
    <s v="Normal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n v="0"/>
    <x v="0"/>
    <x v="0"/>
    <s v="High (7K-12K)"/>
    <s v="Normal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n v="0"/>
    <x v="2"/>
    <x v="3"/>
    <s v="Low (&lt;3K)"/>
    <s v="Normal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n v="0"/>
    <x v="0"/>
    <x v="0"/>
    <s v="High (7K-12K)"/>
    <s v="Normal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n v="0"/>
    <x v="0"/>
    <x v="1"/>
    <s v="Mid (3K-7K)"/>
    <s v="Normal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n v="1"/>
    <x v="1"/>
    <x v="0"/>
    <s v="Mid (3K-7K)"/>
    <s v="Normal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n v="0"/>
    <x v="0"/>
    <x v="0"/>
    <s v="Mid (3K-7K)"/>
    <s v="Normal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n v="0"/>
    <x v="1"/>
    <x v="0"/>
    <s v="Mid (3K-7K)"/>
    <s v="Normal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n v="0"/>
    <x v="0"/>
    <x v="3"/>
    <s v="Low (&lt;3K)"/>
    <s v="Normal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n v="0"/>
    <x v="0"/>
    <x v="1"/>
    <s v="Mid (3K-7K)"/>
    <s v="Normal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n v="0"/>
    <x v="0"/>
    <x v="0"/>
    <s v="Low (&lt;3K)"/>
    <s v="Normal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n v="0"/>
    <x v="0"/>
    <x v="3"/>
    <s v="Low (&lt;3K)"/>
    <s v="Normal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n v="0"/>
    <x v="2"/>
    <x v="3"/>
    <s v="Mid (3K-7K)"/>
    <s v="High Risk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n v="0"/>
    <x v="2"/>
    <x v="0"/>
    <s v="Mid (3K-7K)"/>
    <s v="Normal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n v="1"/>
    <x v="1"/>
    <x v="3"/>
    <s v="High (7K-12K)"/>
    <s v="High Risk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n v="0"/>
    <x v="0"/>
    <x v="1"/>
    <s v="Very High (12K+)"/>
    <s v="Normal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n v="0"/>
    <x v="2"/>
    <x v="0"/>
    <s v="High (7K-12K)"/>
    <s v="Normal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n v="0"/>
    <x v="2"/>
    <x v="3"/>
    <s v="Low (&lt;3K)"/>
    <s v="Normal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n v="0"/>
    <x v="0"/>
    <x v="0"/>
    <s v="Low (&lt;3K)"/>
    <s v="Normal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n v="0"/>
    <x v="0"/>
    <x v="0"/>
    <s v="High (7K-12K)"/>
    <s v="Normal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n v="0"/>
    <x v="2"/>
    <x v="0"/>
    <s v="Mid (3K-7K)"/>
    <s v="High Risk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n v="0"/>
    <x v="1"/>
    <x v="0"/>
    <s v="Mid (3K-7K)"/>
    <s v="Normal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n v="0"/>
    <x v="2"/>
    <x v="3"/>
    <s v="Mid (3K-7K)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7" firstHeaderRow="1" firstDataRow="1" firstDataCol="1"/>
  <pivotFields count="40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35" subtotal="average" baseField="4" baseItem="0" numFmtId="164"/>
  </dataField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3">
              <x v="0"/>
              <x v="1"/>
              <x v="2"/>
            </reference>
          </references>
        </pivotArea>
      </pivotAreas>
    </conditionalFormat>
  </conditional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10:E13" firstHeaderRow="1" firstDataRow="1" firstDataCol="1"/>
  <pivotFields count="40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D16:I23" firstHeaderRow="1" firstDataRow="2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2"/>
        <item x="0"/>
        <item x="1"/>
        <item x="3"/>
        <item t="default"/>
      </items>
    </pivotField>
    <pivotField axis="axisCol" showAll="0">
      <items count="7">
        <item x="2"/>
        <item x="1"/>
        <item m="1" x="4"/>
        <item m="1" x="5"/>
        <item x="0"/>
        <item x="3"/>
        <item t="default"/>
      </items>
    </pivotField>
    <pivotField showAll="0"/>
    <pivotField showAll="0"/>
  </pivotFields>
  <rowFields count="1">
    <field x="3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7"/>
  </colFields>
  <colItems count="5">
    <i>
      <x/>
    </i>
    <i>
      <x v="1"/>
    </i>
    <i>
      <x v="4"/>
    </i>
    <i>
      <x v="5"/>
    </i>
    <i t="grand">
      <x/>
    </i>
  </colItems>
  <dataFields count="1">
    <dataField name="Average of Attrition_Flag" fld="35" subtotal="average" baseField="36" baseItem="0" numFmtId="164"/>
  </dataFields>
  <conditionalFormats count="2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6" count="5">
              <x v="0"/>
              <x v="1"/>
              <x v="2"/>
              <x v="3"/>
              <x v="4"/>
            </reference>
            <reference field="37" count="4" selected="0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6" count="5">
              <x v="0"/>
              <x v="1"/>
              <x v="2"/>
              <x v="3"/>
              <x v="4"/>
            </reference>
            <reference field="37" count="4" selected="0">
              <x v="0"/>
              <x v="1"/>
              <x v="4"/>
              <x v="5"/>
            </reference>
          </references>
        </pivotArea>
      </pivotAreas>
    </conditionalFormat>
  </conditionalFormats>
  <chartFormats count="4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4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10:B20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5"/>
  </rowFields>
  <rowItems count="10">
    <i>
      <x v="8"/>
    </i>
    <i>
      <x v="2"/>
    </i>
    <i>
      <x v="1"/>
    </i>
    <i>
      <x v="7"/>
    </i>
    <i>
      <x v="6"/>
    </i>
    <i>
      <x v="4"/>
    </i>
    <i>
      <x/>
    </i>
    <i>
      <x v="3"/>
    </i>
    <i>
      <x v="5"/>
    </i>
    <i t="grand">
      <x/>
    </i>
  </rowItems>
  <colItems count="1">
    <i/>
  </colItems>
  <dataFields count="1">
    <dataField name="Average of Attrition_Flag" fld="35" subtotal="average" baseField="15" baseItem="0" numFmtId="164"/>
  </dataField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>
  <location ref="D3:E6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Average of Attrition_Flag" fld="35" subtotal="average" baseField="22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3"/>
  <sheetViews>
    <sheetView showGridLines="0" showRowColHeaders="0" topLeftCell="A25" zoomScaleNormal="100" workbookViewId="0">
      <selection activeCell="O26" sqref="O26"/>
    </sheetView>
  </sheetViews>
  <sheetFormatPr defaultRowHeight="15" x14ac:dyDescent="0.25"/>
  <cols>
    <col min="3" max="3" width="9.5703125" bestFit="1" customWidth="1"/>
    <col min="9" max="9" width="11.42578125" bestFit="1" customWidth="1"/>
  </cols>
  <sheetData>
    <row r="1" spans="2:13" ht="26.25" x14ac:dyDescent="0.4">
      <c r="B1" s="10" t="s">
        <v>90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2:13" x14ac:dyDescent="0.25">
      <c r="B2" s="7" t="s">
        <v>62</v>
      </c>
      <c r="C2" s="7"/>
      <c r="D2" s="7"/>
      <c r="E2" s="7" t="s">
        <v>88</v>
      </c>
      <c r="F2" s="7"/>
      <c r="G2" s="7"/>
      <c r="H2" s="7" t="s">
        <v>65</v>
      </c>
      <c r="I2" s="7"/>
      <c r="J2" s="7"/>
      <c r="K2" s="7" t="s">
        <v>89</v>
      </c>
      <c r="L2" s="7"/>
      <c r="M2" s="7"/>
    </row>
    <row r="3" spans="2:13" ht="26.25" customHeight="1" x14ac:dyDescent="0.4">
      <c r="B3" s="6">
        <f>COUNTA('HR-Employee-Attrition'!A2:A1471)</f>
        <v>1470</v>
      </c>
      <c r="C3" s="6"/>
      <c r="D3" s="6"/>
      <c r="E3" s="6">
        <f>COUNTIF('HR-Employee-Attrition'!B2:B1471, "Yes")</f>
        <v>237</v>
      </c>
      <c r="F3" s="6"/>
      <c r="G3" s="6"/>
      <c r="H3" s="8">
        <f>E3/B3</f>
        <v>0.16122448979591836</v>
      </c>
      <c r="I3" s="8"/>
      <c r="J3" s="8"/>
      <c r="K3" s="9">
        <f>AVERAGEIF('HR-Employee-Attrition'!B2:B1471, "Yes", 'HR-Employee-Attrition'!AF2:AF1471)</f>
        <v>5.1308016877637135</v>
      </c>
      <c r="L3" s="9"/>
      <c r="M3" s="9"/>
    </row>
  </sheetData>
  <mergeCells count="9">
    <mergeCell ref="B2:D2"/>
    <mergeCell ref="E2:G2"/>
    <mergeCell ref="H2:J2"/>
    <mergeCell ref="K2:M2"/>
    <mergeCell ref="B3:D3"/>
    <mergeCell ref="E3:G3"/>
    <mergeCell ref="H3:J3"/>
    <mergeCell ref="K3:M3"/>
    <mergeCell ref="B1:M1"/>
  </mergeCells>
  <pageMargins left="0.7" right="0.7" top="0.75" bottom="0.75" header="0.3" footer="0.3"/>
  <pageSetup fitToWidth="9" fitToHeight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3"/>
  <sheetViews>
    <sheetView workbookViewId="0">
      <selection activeCell="F19" sqref="F19"/>
    </sheetView>
  </sheetViews>
  <sheetFormatPr defaultRowHeight="15" x14ac:dyDescent="0.25"/>
  <cols>
    <col min="1" max="1" width="25" customWidth="1"/>
    <col min="2" max="2" width="23.5703125" customWidth="1"/>
    <col min="4" max="4" width="23.5703125" customWidth="1"/>
    <col min="5" max="5" width="25.7109375" bestFit="1" customWidth="1"/>
    <col min="6" max="6" width="16.140625" customWidth="1"/>
    <col min="7" max="7" width="14.42578125" customWidth="1"/>
    <col min="8" max="8" width="12.140625" customWidth="1"/>
    <col min="9" max="9" width="11.28515625" bestFit="1" customWidth="1"/>
  </cols>
  <sheetData>
    <row r="3" spans="1:5" x14ac:dyDescent="0.25">
      <c r="A3" s="2" t="s">
        <v>76</v>
      </c>
      <c r="B3" t="s">
        <v>78</v>
      </c>
      <c r="D3" s="2" t="s">
        <v>76</v>
      </c>
      <c r="E3" t="s">
        <v>78</v>
      </c>
    </row>
    <row r="4" spans="1:5" x14ac:dyDescent="0.25">
      <c r="A4" s="3" t="s">
        <v>61</v>
      </c>
      <c r="B4" s="1">
        <v>0.19047619047619047</v>
      </c>
      <c r="D4" s="3" t="s">
        <v>35</v>
      </c>
      <c r="E4" s="1">
        <v>0.30528846153846156</v>
      </c>
    </row>
    <row r="5" spans="1:5" x14ac:dyDescent="0.25">
      <c r="A5" s="3" t="s">
        <v>45</v>
      </c>
      <c r="B5" s="1">
        <v>0.13839750260145681</v>
      </c>
      <c r="D5" s="3" t="s">
        <v>43</v>
      </c>
      <c r="E5" s="1">
        <v>0.10436432637571158</v>
      </c>
    </row>
    <row r="6" spans="1:5" x14ac:dyDescent="0.25">
      <c r="A6" s="3" t="s">
        <v>37</v>
      </c>
      <c r="B6" s="1">
        <v>0.20627802690582961</v>
      </c>
      <c r="D6" s="3" t="s">
        <v>77</v>
      </c>
      <c r="E6" s="1">
        <v>0.16122448979591836</v>
      </c>
    </row>
    <row r="7" spans="1:5" x14ac:dyDescent="0.25">
      <c r="A7" s="3" t="s">
        <v>77</v>
      </c>
      <c r="B7" s="1">
        <v>0.16122448979591836</v>
      </c>
    </row>
    <row r="10" spans="1:5" x14ac:dyDescent="0.25">
      <c r="A10" s="2" t="s">
        <v>76</v>
      </c>
      <c r="B10" t="s">
        <v>78</v>
      </c>
      <c r="D10" s="2" t="s">
        <v>76</v>
      </c>
      <c r="E10" t="s">
        <v>87</v>
      </c>
    </row>
    <row r="11" spans="1:5" x14ac:dyDescent="0.25">
      <c r="A11" s="3" t="s">
        <v>57</v>
      </c>
      <c r="B11" s="1">
        <v>0.39759036144578314</v>
      </c>
      <c r="D11" s="3" t="s">
        <v>43</v>
      </c>
      <c r="E11" s="4">
        <v>6832.7396593673966</v>
      </c>
    </row>
    <row r="12" spans="1:5" x14ac:dyDescent="0.25">
      <c r="A12" s="3" t="s">
        <v>50</v>
      </c>
      <c r="B12" s="1">
        <v>0.23938223938223938</v>
      </c>
      <c r="D12" s="3" t="s">
        <v>35</v>
      </c>
      <c r="E12" s="4">
        <v>4787.0928270042195</v>
      </c>
    </row>
    <row r="13" spans="1:5" x14ac:dyDescent="0.25">
      <c r="A13" s="3" t="s">
        <v>61</v>
      </c>
      <c r="B13" s="1">
        <v>0.23076923076923078</v>
      </c>
      <c r="D13" s="3" t="s">
        <v>77</v>
      </c>
      <c r="E13" s="4">
        <v>6502.931292517007</v>
      </c>
    </row>
    <row r="14" spans="1:5" x14ac:dyDescent="0.25">
      <c r="A14" s="3" t="s">
        <v>40</v>
      </c>
      <c r="B14" s="1">
        <v>0.17484662576687116</v>
      </c>
    </row>
    <row r="15" spans="1:5" x14ac:dyDescent="0.25">
      <c r="A15" s="3" t="s">
        <v>47</v>
      </c>
      <c r="B15" s="1">
        <v>0.16095890410958905</v>
      </c>
    </row>
    <row r="16" spans="1:5" x14ac:dyDescent="0.25">
      <c r="A16" s="3" t="s">
        <v>53</v>
      </c>
      <c r="B16" s="1">
        <v>6.8965517241379309E-2</v>
      </c>
      <c r="D16" s="2" t="s">
        <v>78</v>
      </c>
      <c r="E16" s="2" t="s">
        <v>84</v>
      </c>
    </row>
    <row r="17" spans="1:9" x14ac:dyDescent="0.25">
      <c r="A17" s="3" t="s">
        <v>54</v>
      </c>
      <c r="B17" s="1">
        <v>6.8702290076335881E-2</v>
      </c>
      <c r="D17" s="2" t="s">
        <v>76</v>
      </c>
      <c r="E17" t="s">
        <v>85</v>
      </c>
      <c r="F17" t="s">
        <v>86</v>
      </c>
      <c r="G17" t="s">
        <v>91</v>
      </c>
      <c r="H17" t="s">
        <v>92</v>
      </c>
      <c r="I17" t="s">
        <v>77</v>
      </c>
    </row>
    <row r="18" spans="1:9" x14ac:dyDescent="0.25">
      <c r="A18" s="3" t="s">
        <v>56</v>
      </c>
      <c r="B18" s="1">
        <v>4.9019607843137254E-2</v>
      </c>
      <c r="D18" s="3" t="s">
        <v>83</v>
      </c>
      <c r="E18" s="1">
        <v>0.60465116279069764</v>
      </c>
      <c r="F18" s="1"/>
      <c r="G18" s="1">
        <v>0.25</v>
      </c>
      <c r="H18" s="1">
        <v>0.21428571428571427</v>
      </c>
      <c r="I18" s="1">
        <v>0.39175257731958762</v>
      </c>
    </row>
    <row r="19" spans="1:9" x14ac:dyDescent="0.25">
      <c r="A19" s="3" t="s">
        <v>58</v>
      </c>
      <c r="B19" s="1">
        <v>2.5000000000000001E-2</v>
      </c>
      <c r="D19" s="3" t="s">
        <v>79</v>
      </c>
      <c r="E19" s="1">
        <v>0.43939393939393939</v>
      </c>
      <c r="F19" s="1">
        <v>0.13207547169811321</v>
      </c>
      <c r="G19" s="1">
        <v>0.13043478260869565</v>
      </c>
      <c r="H19" s="1">
        <v>0.25657894736842107</v>
      </c>
      <c r="I19" s="1">
        <v>0.20216606498194944</v>
      </c>
    </row>
    <row r="20" spans="1:9" x14ac:dyDescent="0.25">
      <c r="A20" s="3" t="s">
        <v>77</v>
      </c>
      <c r="B20" s="1">
        <v>0.16122448979591836</v>
      </c>
      <c r="D20" s="3" t="s">
        <v>80</v>
      </c>
      <c r="E20" s="1">
        <v>0.2</v>
      </c>
      <c r="F20" s="1">
        <v>8.3333333333333329E-2</v>
      </c>
      <c r="G20" s="1">
        <v>6.8965517241379309E-2</v>
      </c>
      <c r="H20" s="1">
        <v>0.11</v>
      </c>
      <c r="I20" s="1">
        <v>0.100990099009901</v>
      </c>
    </row>
    <row r="21" spans="1:9" x14ac:dyDescent="0.25">
      <c r="D21" s="3" t="s">
        <v>81</v>
      </c>
      <c r="E21" s="1">
        <v>0.15</v>
      </c>
      <c r="F21" s="1">
        <v>7.407407407407407E-2</v>
      </c>
      <c r="G21" s="1">
        <v>0.11627906976744186</v>
      </c>
      <c r="H21" s="1">
        <v>0.10344827586206896</v>
      </c>
      <c r="I21" s="1">
        <v>0.10204081632653061</v>
      </c>
    </row>
    <row r="22" spans="1:9" x14ac:dyDescent="0.25">
      <c r="D22" s="3" t="s">
        <v>82</v>
      </c>
      <c r="E22" s="1">
        <v>0.18181818181818182</v>
      </c>
      <c r="F22" s="1">
        <v>0.21739130434782608</v>
      </c>
      <c r="G22" s="1">
        <v>0.13636363636363635</v>
      </c>
      <c r="H22" s="1">
        <v>7.6923076923076927E-2</v>
      </c>
      <c r="I22" s="1">
        <v>0.15942028985507245</v>
      </c>
    </row>
    <row r="23" spans="1:9" x14ac:dyDescent="0.25">
      <c r="D23" s="3" t="s">
        <v>77</v>
      </c>
      <c r="E23" s="1">
        <v>0.34883720930232559</v>
      </c>
      <c r="F23" s="1">
        <v>0.10382513661202186</v>
      </c>
      <c r="G23" s="1">
        <v>0.11068702290076336</v>
      </c>
      <c r="H23" s="1">
        <v>0.18082191780821918</v>
      </c>
      <c r="I23" s="1">
        <v>0.16122448979591836</v>
      </c>
    </row>
  </sheetData>
  <conditionalFormatting pivot="1" sqref="B4:B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1:B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18:F2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18:H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71"/>
  <sheetViews>
    <sheetView tabSelected="1" topLeftCell="AG1" workbookViewId="0">
      <selection activeCell="AQ11" sqref="AQ11"/>
    </sheetView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  <col min="36" max="36" width="13.28515625" bestFit="1" customWidth="1"/>
    <col min="37" max="37" width="10.85546875" bestFit="1" customWidth="1"/>
    <col min="38" max="38" width="16.140625" bestFit="1" customWidth="1"/>
    <col min="39" max="39" width="15.7109375" bestFit="1" customWidth="1"/>
    <col min="40" max="40" width="14.28515625" bestFit="1" customWidth="1"/>
    <col min="41" max="41" width="10.85546875" customWidth="1"/>
    <col min="42" max="42" width="24.7109375" bestFit="1" customWidth="1"/>
    <col min="46" max="46" width="24.710937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</row>
    <row r="2" spans="1:43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>IF(B2="Yes", 1, 0)</f>
        <v>1</v>
      </c>
      <c r="AK2" t="str">
        <f>IF(A2&lt;25, "Under 25", IF(A2&lt;35, "25-34", IF(A2&lt;45, "35-44", IF(A2&lt;55, "45-54", "55+"))))</f>
        <v>35-44</v>
      </c>
      <c r="AL2" t="str">
        <f>IF(AF2&lt;2, "0-1 yrs (New)", IF(AF2&lt;5, "2-4 yrs (Mid)", IF(AF2&lt;10, "5-9 yrs (Senior)", "10+ yrs (Veteran)")))</f>
        <v>5-9 yrs (Senior)</v>
      </c>
      <c r="AM2" t="str">
        <f>IF(S2&lt;3000, "Low (&lt;3K)", IF(S2&lt;7000, "Mid (3K-7K)", IF(S2&lt;12000, "High (7K-12K)", "Very High (12K+)")))</f>
        <v>Mid (3K-7K)</v>
      </c>
      <c r="AN2" t="str">
        <f>IF(AND(W2="Yes", Q2&lt;=2), "High Risk", "Normal")</f>
        <v>Normal</v>
      </c>
      <c r="AP2" t="s">
        <v>62</v>
      </c>
      <c r="AQ2">
        <f>COUNTA(A2:A1471)</f>
        <v>1470</v>
      </c>
    </row>
    <row r="3" spans="1:43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 t="shared" ref="AJ3:AJ66" si="0">IF(B3="Yes", 1, 0)</f>
        <v>0</v>
      </c>
      <c r="AK3" t="str">
        <f t="shared" ref="AK3:AK66" si="1">IF(A3&lt;25, "Under 25", IF(A3&lt;35, "25-34", IF(A3&lt;45, "35-44", IF(A3&lt;55, "45-54", "55+"))))</f>
        <v>45-54</v>
      </c>
      <c r="AL3" t="str">
        <f t="shared" ref="AL3:AL66" si="2">IF(AF3&lt;2, "0-1 yrs (New)", IF(AF3&lt;5, "2-4 yrs (Mid)", IF(AF3&lt;10, "5-9 yrs (Senior)", "10+ yrs (Veteran)")))</f>
        <v>10+ yrs (Veteran)</v>
      </c>
      <c r="AM3" t="str">
        <f t="shared" ref="AM3:AM66" si="3">IF(S3&lt;3000, "Low (&lt;3K)", IF(S3&lt;7000, "Mid (3K-7K)", IF(S3&lt;12000, "High (7K-12K)", "Very High (12K+)")))</f>
        <v>Mid (3K-7K)</v>
      </c>
      <c r="AN3" t="str">
        <f t="shared" ref="AN3:AN66" si="4">IF(AND(W3="Yes", Q3&lt;=2), "High Risk", "Normal")</f>
        <v>Normal</v>
      </c>
      <c r="AP3" t="s">
        <v>63</v>
      </c>
      <c r="AQ3">
        <f>COUNTIF(B2:B1471, "Yes")</f>
        <v>237</v>
      </c>
    </row>
    <row r="4" spans="1:43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 t="shared" si="0"/>
        <v>1</v>
      </c>
      <c r="AK4" t="str">
        <f t="shared" si="1"/>
        <v>35-44</v>
      </c>
      <c r="AL4" t="str">
        <f t="shared" si="2"/>
        <v>0-1 yrs (New)</v>
      </c>
      <c r="AM4" t="str">
        <f t="shared" si="3"/>
        <v>Low (&lt;3K)</v>
      </c>
      <c r="AN4" t="str">
        <f t="shared" si="4"/>
        <v>Normal</v>
      </c>
      <c r="AP4" t="s">
        <v>64</v>
      </c>
      <c r="AQ4">
        <f>COUNTIF(B2:B1471, "No")</f>
        <v>1233</v>
      </c>
    </row>
    <row r="5" spans="1:43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 t="shared" si="0"/>
        <v>0</v>
      </c>
      <c r="AK5" t="str">
        <f t="shared" si="1"/>
        <v>25-34</v>
      </c>
      <c r="AL5" t="str">
        <f t="shared" si="2"/>
        <v>5-9 yrs (Senior)</v>
      </c>
      <c r="AM5" t="str">
        <f t="shared" si="3"/>
        <v>Low (&lt;3K)</v>
      </c>
      <c r="AN5" t="str">
        <f t="shared" si="4"/>
        <v>Normal</v>
      </c>
      <c r="AO5" t="s">
        <v>75</v>
      </c>
      <c r="AP5" t="s">
        <v>65</v>
      </c>
      <c r="AQ5" s="1">
        <f>AQ3 /AQ2</f>
        <v>0.16122448979591836</v>
      </c>
    </row>
    <row r="6" spans="1:43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 t="shared" si="0"/>
        <v>0</v>
      </c>
      <c r="AK6" t="str">
        <f t="shared" si="1"/>
        <v>25-34</v>
      </c>
      <c r="AL6" t="str">
        <f t="shared" si="2"/>
        <v>2-4 yrs (Mid)</v>
      </c>
      <c r="AM6" t="str">
        <f t="shared" si="3"/>
        <v>Mid (3K-7K)</v>
      </c>
      <c r="AN6" t="str">
        <f t="shared" si="4"/>
        <v>Normal</v>
      </c>
    </row>
    <row r="7" spans="1:43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 t="shared" si="0"/>
        <v>0</v>
      </c>
      <c r="AK7" t="str">
        <f t="shared" si="1"/>
        <v>25-34</v>
      </c>
      <c r="AL7" t="str">
        <f t="shared" si="2"/>
        <v>5-9 yrs (Senior)</v>
      </c>
      <c r="AM7" t="str">
        <f t="shared" si="3"/>
        <v>Mid (3K-7K)</v>
      </c>
      <c r="AN7" t="str">
        <f t="shared" si="4"/>
        <v>Normal</v>
      </c>
      <c r="AP7" t="s">
        <v>69</v>
      </c>
    </row>
    <row r="8" spans="1:43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 t="shared" si="0"/>
        <v>0</v>
      </c>
      <c r="AK8" t="str">
        <f t="shared" si="1"/>
        <v>55+</v>
      </c>
      <c r="AL8" t="str">
        <f t="shared" si="2"/>
        <v>0-1 yrs (New)</v>
      </c>
      <c r="AM8" t="str">
        <f t="shared" si="3"/>
        <v>Low (&lt;3K)</v>
      </c>
      <c r="AN8" t="str">
        <f t="shared" si="4"/>
        <v>High Risk</v>
      </c>
      <c r="AP8" t="s">
        <v>68</v>
      </c>
      <c r="AQ8">
        <f>COUNTIF(J$2:J$1471, J2)</f>
        <v>1</v>
      </c>
    </row>
    <row r="9" spans="1:43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 t="shared" si="0"/>
        <v>0</v>
      </c>
      <c r="AK9" t="str">
        <f t="shared" si="1"/>
        <v>25-34</v>
      </c>
      <c r="AL9" t="str">
        <f t="shared" si="2"/>
        <v>0-1 yrs (New)</v>
      </c>
      <c r="AM9" t="str">
        <f t="shared" si="3"/>
        <v>Low (&lt;3K)</v>
      </c>
      <c r="AN9" t="str">
        <f t="shared" si="4"/>
        <v>Normal</v>
      </c>
    </row>
    <row r="10" spans="1:43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 t="shared" si="0"/>
        <v>0</v>
      </c>
      <c r="AK10" t="str">
        <f t="shared" si="1"/>
        <v>35-44</v>
      </c>
      <c r="AL10" t="str">
        <f t="shared" si="2"/>
        <v>5-9 yrs (Senior)</v>
      </c>
      <c r="AM10" t="str">
        <f t="shared" si="3"/>
        <v>High (7K-12K)</v>
      </c>
      <c r="AN10" t="str">
        <f t="shared" si="4"/>
        <v>Normal</v>
      </c>
      <c r="AP10" t="s">
        <v>8</v>
      </c>
      <c r="AQ10" t="b">
        <f>COUNTIF(I2:I1471, I2) = COUNTA(I2:I1471)</f>
        <v>1</v>
      </c>
    </row>
    <row r="11" spans="1:43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 t="shared" si="0"/>
        <v>0</v>
      </c>
      <c r="AK11" t="str">
        <f t="shared" si="1"/>
        <v>35-44</v>
      </c>
      <c r="AL11" t="str">
        <f t="shared" si="2"/>
        <v>5-9 yrs (Senior)</v>
      </c>
      <c r="AM11" t="str">
        <f t="shared" si="3"/>
        <v>Mid (3K-7K)</v>
      </c>
      <c r="AN11" t="str">
        <f t="shared" si="4"/>
        <v>Normal</v>
      </c>
      <c r="AP11" t="s">
        <v>21</v>
      </c>
      <c r="AQ11" t="b">
        <f>COUNTIF(V2:V1471, V2) = COUNTA(V2:V1471)</f>
        <v>1</v>
      </c>
    </row>
    <row r="12" spans="1:43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 t="shared" si="0"/>
        <v>0</v>
      </c>
      <c r="AK12" t="str">
        <f t="shared" si="1"/>
        <v>35-44</v>
      </c>
      <c r="AL12" t="str">
        <f t="shared" si="2"/>
        <v>5-9 yrs (Senior)</v>
      </c>
      <c r="AM12" t="str">
        <f t="shared" si="3"/>
        <v>Low (&lt;3K)</v>
      </c>
      <c r="AN12" t="str">
        <f t="shared" si="4"/>
        <v>Normal</v>
      </c>
      <c r="AP12" t="s">
        <v>26</v>
      </c>
      <c r="AQ12" t="b">
        <f>COUNTIF(AA2:AA1471, AA2) = COUNTA(AA2:AA1471)</f>
        <v>1</v>
      </c>
    </row>
    <row r="13" spans="1:43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 t="shared" si="0"/>
        <v>0</v>
      </c>
      <c r="AK13" t="str">
        <f t="shared" si="1"/>
        <v>25-34</v>
      </c>
      <c r="AL13" t="str">
        <f t="shared" si="2"/>
        <v>5-9 yrs (Senior)</v>
      </c>
      <c r="AM13" t="str">
        <f t="shared" si="3"/>
        <v>Mid (3K-7K)</v>
      </c>
      <c r="AN13" t="str">
        <f t="shared" si="4"/>
        <v>Normal</v>
      </c>
    </row>
    <row r="14" spans="1:43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 t="shared" si="0"/>
        <v>0</v>
      </c>
      <c r="AK14" t="str">
        <f t="shared" si="1"/>
        <v>25-34</v>
      </c>
      <c r="AL14" t="str">
        <f t="shared" si="2"/>
        <v>5-9 yrs (Senior)</v>
      </c>
      <c r="AM14" t="str">
        <f t="shared" si="3"/>
        <v>Low (&lt;3K)</v>
      </c>
      <c r="AN14" t="str">
        <f t="shared" si="4"/>
        <v>Normal</v>
      </c>
    </row>
    <row r="15" spans="1:43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 t="shared" si="0"/>
        <v>0</v>
      </c>
      <c r="AK15" t="str">
        <f t="shared" si="1"/>
        <v>25-34</v>
      </c>
      <c r="AL15" t="str">
        <f t="shared" si="2"/>
        <v>2-4 yrs (Mid)</v>
      </c>
      <c r="AM15" t="str">
        <f t="shared" si="3"/>
        <v>Low (&lt;3K)</v>
      </c>
      <c r="AN15" t="str">
        <f t="shared" si="4"/>
        <v>Normal</v>
      </c>
    </row>
    <row r="16" spans="1:43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 t="shared" si="0"/>
        <v>1</v>
      </c>
      <c r="AK16" t="str">
        <f t="shared" si="1"/>
        <v>25-34</v>
      </c>
      <c r="AL16" t="str">
        <f t="shared" si="2"/>
        <v>2-4 yrs (Mid)</v>
      </c>
      <c r="AM16" t="str">
        <f t="shared" si="3"/>
        <v>Low (&lt;3K)</v>
      </c>
      <c r="AN16" t="str">
        <f t="shared" si="4"/>
        <v>Normal</v>
      </c>
    </row>
    <row r="17" spans="1:40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 t="shared" si="0"/>
        <v>0</v>
      </c>
      <c r="AK17" t="str">
        <f t="shared" si="1"/>
        <v>25-34</v>
      </c>
      <c r="AL17" t="str">
        <f t="shared" si="2"/>
        <v>10+ yrs (Veteran)</v>
      </c>
      <c r="AM17" t="str">
        <f t="shared" si="3"/>
        <v>High (7K-12K)</v>
      </c>
      <c r="AN17" t="str">
        <f t="shared" si="4"/>
        <v>Normal</v>
      </c>
    </row>
    <row r="18" spans="1:40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 t="shared" si="0"/>
        <v>0</v>
      </c>
      <c r="AK18" t="str">
        <f t="shared" si="1"/>
        <v>25-34</v>
      </c>
      <c r="AL18" t="str">
        <f t="shared" si="2"/>
        <v>5-9 yrs (Senior)</v>
      </c>
      <c r="AM18" t="str">
        <f t="shared" si="3"/>
        <v>Mid (3K-7K)</v>
      </c>
      <c r="AN18" t="str">
        <f t="shared" si="4"/>
        <v>High Risk</v>
      </c>
    </row>
    <row r="19" spans="1:40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 t="shared" si="0"/>
        <v>0</v>
      </c>
      <c r="AK19" t="str">
        <f t="shared" si="1"/>
        <v>Under 25</v>
      </c>
      <c r="AL19" t="str">
        <f t="shared" si="2"/>
        <v>0-1 yrs (New)</v>
      </c>
      <c r="AM19" t="str">
        <f t="shared" si="3"/>
        <v>Low (&lt;3K)</v>
      </c>
      <c r="AN19" t="str">
        <f t="shared" si="4"/>
        <v>Normal</v>
      </c>
    </row>
    <row r="20" spans="1:40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 t="shared" si="0"/>
        <v>0</v>
      </c>
      <c r="AK20" t="str">
        <f t="shared" si="1"/>
        <v>45-54</v>
      </c>
      <c r="AL20" t="str">
        <f t="shared" si="2"/>
        <v>10+ yrs (Veteran)</v>
      </c>
      <c r="AM20" t="str">
        <f t="shared" si="3"/>
        <v>Very High (12K+)</v>
      </c>
      <c r="AN20" t="str">
        <f t="shared" si="4"/>
        <v>Normal</v>
      </c>
    </row>
    <row r="21" spans="1:40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 t="shared" si="0"/>
        <v>0</v>
      </c>
      <c r="AK21" t="str">
        <f t="shared" si="1"/>
        <v>35-44</v>
      </c>
      <c r="AL21" t="str">
        <f t="shared" si="2"/>
        <v>2-4 yrs (Mid)</v>
      </c>
      <c r="AM21" t="str">
        <f t="shared" si="3"/>
        <v>Mid (3K-7K)</v>
      </c>
      <c r="AN21" t="str">
        <f t="shared" si="4"/>
        <v>Normal</v>
      </c>
    </row>
    <row r="22" spans="1:40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 t="shared" si="0"/>
        <v>0</v>
      </c>
      <c r="AK22" t="str">
        <f t="shared" si="1"/>
        <v>Under 25</v>
      </c>
      <c r="AL22" t="str">
        <f t="shared" si="2"/>
        <v>2-4 yrs (Mid)</v>
      </c>
      <c r="AM22" t="str">
        <f t="shared" si="3"/>
        <v>Mid (3K-7K)</v>
      </c>
      <c r="AN22" t="str">
        <f t="shared" si="4"/>
        <v>Normal</v>
      </c>
    </row>
    <row r="23" spans="1:40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 t="shared" si="0"/>
        <v>1</v>
      </c>
      <c r="AK23" t="str">
        <f t="shared" si="1"/>
        <v>35-44</v>
      </c>
      <c r="AL23" t="str">
        <f t="shared" si="2"/>
        <v>5-9 yrs (Senior)</v>
      </c>
      <c r="AM23" t="str">
        <f t="shared" si="3"/>
        <v>Mid (3K-7K)</v>
      </c>
      <c r="AN23" t="str">
        <f t="shared" si="4"/>
        <v>Normal</v>
      </c>
    </row>
    <row r="24" spans="1:40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 t="shared" si="0"/>
        <v>0</v>
      </c>
      <c r="AK24" t="str">
        <f t="shared" si="1"/>
        <v>25-34</v>
      </c>
      <c r="AL24" t="str">
        <f t="shared" si="2"/>
        <v>10+ yrs (Veteran)</v>
      </c>
      <c r="AM24" t="str">
        <f t="shared" si="3"/>
        <v>High (7K-12K)</v>
      </c>
      <c r="AN24" t="str">
        <f t="shared" si="4"/>
        <v>Normal</v>
      </c>
    </row>
    <row r="25" spans="1:40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 t="shared" si="0"/>
        <v>0</v>
      </c>
      <c r="AK25" t="str">
        <f t="shared" si="1"/>
        <v>Under 25</v>
      </c>
      <c r="AL25" t="str">
        <f t="shared" si="2"/>
        <v>0-1 yrs (New)</v>
      </c>
      <c r="AM25" t="str">
        <f t="shared" si="3"/>
        <v>Low (&lt;3K)</v>
      </c>
      <c r="AN25" t="str">
        <f t="shared" si="4"/>
        <v>Normal</v>
      </c>
    </row>
    <row r="26" spans="1:40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 t="shared" si="0"/>
        <v>1</v>
      </c>
      <c r="AK26" t="str">
        <f t="shared" si="1"/>
        <v>25-34</v>
      </c>
      <c r="AL26" t="str">
        <f t="shared" si="2"/>
        <v>2-4 yrs (Mid)</v>
      </c>
      <c r="AM26" t="str">
        <f t="shared" si="3"/>
        <v>Low (&lt;3K)</v>
      </c>
      <c r="AN26" t="str">
        <f t="shared" si="4"/>
        <v>Normal</v>
      </c>
    </row>
    <row r="27" spans="1:40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 t="shared" si="0"/>
        <v>0</v>
      </c>
      <c r="AK27" t="str">
        <f t="shared" si="1"/>
        <v>45-54</v>
      </c>
      <c r="AL27" t="str">
        <f t="shared" si="2"/>
        <v>10+ yrs (Veteran)</v>
      </c>
      <c r="AM27" t="str">
        <f t="shared" si="3"/>
        <v>Very High (12K+)</v>
      </c>
      <c r="AN27" t="str">
        <f t="shared" si="4"/>
        <v>Normal</v>
      </c>
    </row>
    <row r="28" spans="1:40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 t="shared" si="0"/>
        <v>1</v>
      </c>
      <c r="AK28" t="str">
        <f t="shared" si="1"/>
        <v>25-34</v>
      </c>
      <c r="AL28" t="str">
        <f t="shared" si="2"/>
        <v>10+ yrs (Veteran)</v>
      </c>
      <c r="AM28" t="str">
        <f t="shared" si="3"/>
        <v>Mid (3K-7K)</v>
      </c>
      <c r="AN28" t="str">
        <f t="shared" si="4"/>
        <v>High Risk</v>
      </c>
    </row>
    <row r="29" spans="1:40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 t="shared" si="0"/>
        <v>0</v>
      </c>
      <c r="AK29" t="str">
        <f t="shared" si="1"/>
        <v>35-44</v>
      </c>
      <c r="AL29" t="str">
        <f t="shared" si="2"/>
        <v>5-9 yrs (Senior)</v>
      </c>
      <c r="AM29" t="str">
        <f t="shared" si="3"/>
        <v>Mid (3K-7K)</v>
      </c>
      <c r="AN29" t="str">
        <f t="shared" si="4"/>
        <v>Normal</v>
      </c>
    </row>
    <row r="30" spans="1:40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 t="shared" si="0"/>
        <v>0</v>
      </c>
      <c r="AK30" t="str">
        <f t="shared" si="1"/>
        <v>35-44</v>
      </c>
      <c r="AL30" t="str">
        <f t="shared" si="2"/>
        <v>10+ yrs (Veteran)</v>
      </c>
      <c r="AM30" t="str">
        <f t="shared" si="3"/>
        <v>High (7K-12K)</v>
      </c>
      <c r="AN30" t="str">
        <f t="shared" si="4"/>
        <v>Normal</v>
      </c>
    </row>
    <row r="31" spans="1:40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 t="shared" si="0"/>
        <v>0</v>
      </c>
      <c r="AK31" t="str">
        <f t="shared" si="1"/>
        <v>45-54</v>
      </c>
      <c r="AL31" t="str">
        <f t="shared" si="2"/>
        <v>2-4 yrs (Mid)</v>
      </c>
      <c r="AM31" t="str">
        <f t="shared" si="3"/>
        <v>Very High (12K+)</v>
      </c>
      <c r="AN31" t="str">
        <f t="shared" si="4"/>
        <v>Normal</v>
      </c>
    </row>
    <row r="32" spans="1:40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 t="shared" si="0"/>
        <v>0</v>
      </c>
      <c r="AK32" t="str">
        <f t="shared" si="1"/>
        <v>25-34</v>
      </c>
      <c r="AL32" t="str">
        <f t="shared" si="2"/>
        <v>0-1 yrs (New)</v>
      </c>
      <c r="AM32" t="str">
        <f t="shared" si="3"/>
        <v>Low (&lt;3K)</v>
      </c>
      <c r="AN32" t="str">
        <f t="shared" si="4"/>
        <v>Normal</v>
      </c>
    </row>
    <row r="33" spans="1:40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 t="shared" si="0"/>
        <v>0</v>
      </c>
      <c r="AK33" t="str">
        <f t="shared" si="1"/>
        <v>35-44</v>
      </c>
      <c r="AL33" t="str">
        <f t="shared" si="2"/>
        <v>2-4 yrs (Mid)</v>
      </c>
      <c r="AM33" t="str">
        <f t="shared" si="3"/>
        <v>Mid (3K-7K)</v>
      </c>
      <c r="AN33" t="str">
        <f t="shared" si="4"/>
        <v>Normal</v>
      </c>
    </row>
    <row r="34" spans="1:40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 t="shared" si="0"/>
        <v>0</v>
      </c>
      <c r="AK34" t="str">
        <f t="shared" si="1"/>
        <v>25-34</v>
      </c>
      <c r="AL34" t="str">
        <f t="shared" si="2"/>
        <v>10+ yrs (Veteran)</v>
      </c>
      <c r="AM34" t="str">
        <f t="shared" si="3"/>
        <v>Low (&lt;3K)</v>
      </c>
      <c r="AN34" t="str">
        <f t="shared" si="4"/>
        <v>Normal</v>
      </c>
    </row>
    <row r="35" spans="1:40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 t="shared" si="0"/>
        <v>1</v>
      </c>
      <c r="AK35" t="str">
        <f t="shared" si="1"/>
        <v>35-44</v>
      </c>
      <c r="AL35" t="str">
        <f t="shared" si="2"/>
        <v>0-1 yrs (New)</v>
      </c>
      <c r="AM35" t="str">
        <f t="shared" si="3"/>
        <v>Low (&lt;3K)</v>
      </c>
      <c r="AN35" t="str">
        <f t="shared" si="4"/>
        <v>Normal</v>
      </c>
    </row>
    <row r="36" spans="1:40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 t="shared" si="0"/>
        <v>1</v>
      </c>
      <c r="AK36" t="str">
        <f t="shared" si="1"/>
        <v>Under 25</v>
      </c>
      <c r="AL36" t="str">
        <f t="shared" si="2"/>
        <v>2-4 yrs (Mid)</v>
      </c>
      <c r="AM36" t="str">
        <f t="shared" si="3"/>
        <v>Low (&lt;3K)</v>
      </c>
      <c r="AN36" t="str">
        <f t="shared" si="4"/>
        <v>Normal</v>
      </c>
    </row>
    <row r="37" spans="1:40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 t="shared" si="0"/>
        <v>0</v>
      </c>
      <c r="AK37" t="str">
        <f t="shared" si="1"/>
        <v>35-44</v>
      </c>
      <c r="AL37" t="str">
        <f t="shared" si="2"/>
        <v>5-9 yrs (Senior)</v>
      </c>
      <c r="AM37" t="str">
        <f t="shared" si="3"/>
        <v>Low (&lt;3K)</v>
      </c>
      <c r="AN37" t="str">
        <f t="shared" si="4"/>
        <v>Normal</v>
      </c>
    </row>
    <row r="38" spans="1:40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 t="shared" si="0"/>
        <v>1</v>
      </c>
      <c r="AK38" t="str">
        <f t="shared" si="1"/>
        <v>45-54</v>
      </c>
      <c r="AL38" t="str">
        <f t="shared" si="2"/>
        <v>2-4 yrs (Mid)</v>
      </c>
      <c r="AM38" t="str">
        <f t="shared" si="3"/>
        <v>Low (&lt;3K)</v>
      </c>
      <c r="AN38" t="str">
        <f t="shared" si="4"/>
        <v>Normal</v>
      </c>
    </row>
    <row r="39" spans="1:40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 t="shared" si="0"/>
        <v>0</v>
      </c>
      <c r="AK39" t="str">
        <f t="shared" si="1"/>
        <v>35-44</v>
      </c>
      <c r="AL39" t="str">
        <f t="shared" si="2"/>
        <v>2-4 yrs (Mid)</v>
      </c>
      <c r="AM39" t="str">
        <f t="shared" si="3"/>
        <v>Low (&lt;3K)</v>
      </c>
      <c r="AN39" t="str">
        <f t="shared" si="4"/>
        <v>Normal</v>
      </c>
    </row>
    <row r="40" spans="1:40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 t="shared" si="0"/>
        <v>0</v>
      </c>
      <c r="AK40" t="str">
        <f t="shared" si="1"/>
        <v>35-44</v>
      </c>
      <c r="AL40" t="str">
        <f t="shared" si="2"/>
        <v>0-1 yrs (New)</v>
      </c>
      <c r="AM40" t="str">
        <f t="shared" si="3"/>
        <v>Mid (3K-7K)</v>
      </c>
      <c r="AN40" t="str">
        <f t="shared" si="4"/>
        <v>High Risk</v>
      </c>
    </row>
    <row r="41" spans="1:40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 t="shared" si="0"/>
        <v>0</v>
      </c>
      <c r="AK41" t="str">
        <f t="shared" si="1"/>
        <v>25-34</v>
      </c>
      <c r="AL41" t="str">
        <f t="shared" si="2"/>
        <v>5-9 yrs (Senior)</v>
      </c>
      <c r="AM41" t="str">
        <f t="shared" si="3"/>
        <v>Mid (3K-7K)</v>
      </c>
      <c r="AN41" t="str">
        <f t="shared" si="4"/>
        <v>Normal</v>
      </c>
    </row>
    <row r="42" spans="1:40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 t="shared" si="0"/>
        <v>0</v>
      </c>
      <c r="AK42" t="str">
        <f t="shared" si="1"/>
        <v>35-44</v>
      </c>
      <c r="AL42" t="str">
        <f t="shared" si="2"/>
        <v>0-1 yrs (New)</v>
      </c>
      <c r="AM42" t="str">
        <f t="shared" si="3"/>
        <v>Low (&lt;3K)</v>
      </c>
      <c r="AN42" t="str">
        <f t="shared" si="4"/>
        <v>Normal</v>
      </c>
    </row>
    <row r="43" spans="1:40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 t="shared" si="0"/>
        <v>0</v>
      </c>
      <c r="AK43" t="str">
        <f t="shared" si="1"/>
        <v>25-34</v>
      </c>
      <c r="AL43" t="str">
        <f t="shared" si="2"/>
        <v>0-1 yrs (New)</v>
      </c>
      <c r="AM43" t="str">
        <f t="shared" si="3"/>
        <v>Low (&lt;3K)</v>
      </c>
      <c r="AN43" t="str">
        <f t="shared" si="4"/>
        <v>Normal</v>
      </c>
    </row>
    <row r="44" spans="1:40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 t="shared" si="0"/>
        <v>1</v>
      </c>
      <c r="AK44" t="str">
        <f t="shared" si="1"/>
        <v>25-34</v>
      </c>
      <c r="AL44" t="str">
        <f t="shared" si="2"/>
        <v>0-1 yrs (New)</v>
      </c>
      <c r="AM44" t="str">
        <f t="shared" si="3"/>
        <v>Low (&lt;3K)</v>
      </c>
      <c r="AN44" t="str">
        <f t="shared" si="4"/>
        <v>Normal</v>
      </c>
    </row>
    <row r="45" spans="1:40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 t="shared" si="0"/>
        <v>0</v>
      </c>
      <c r="AK45" t="str">
        <f t="shared" si="1"/>
        <v>25-34</v>
      </c>
      <c r="AL45" t="str">
        <f t="shared" si="2"/>
        <v>5-9 yrs (Senior)</v>
      </c>
      <c r="AM45" t="str">
        <f t="shared" si="3"/>
        <v>High (7K-12K)</v>
      </c>
      <c r="AN45" t="str">
        <f t="shared" si="4"/>
        <v>Normal</v>
      </c>
    </row>
    <row r="46" spans="1:40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 t="shared" si="0"/>
        <v>0</v>
      </c>
      <c r="AK46" t="str">
        <f t="shared" si="1"/>
        <v>25-34</v>
      </c>
      <c r="AL46" t="str">
        <f t="shared" si="2"/>
        <v>10+ yrs (Veteran)</v>
      </c>
      <c r="AM46" t="str">
        <f t="shared" si="3"/>
        <v>Mid (3K-7K)</v>
      </c>
      <c r="AN46" t="str">
        <f t="shared" si="4"/>
        <v>Normal</v>
      </c>
    </row>
    <row r="47" spans="1:40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 t="shared" si="0"/>
        <v>1</v>
      </c>
      <c r="AK47" t="str">
        <f t="shared" si="1"/>
        <v>35-44</v>
      </c>
      <c r="AL47" t="str">
        <f t="shared" si="2"/>
        <v>10+ yrs (Veteran)</v>
      </c>
      <c r="AM47" t="str">
        <f t="shared" si="3"/>
        <v>Very High (12K+)</v>
      </c>
      <c r="AN47" t="str">
        <f t="shared" si="4"/>
        <v>Normal</v>
      </c>
    </row>
    <row r="48" spans="1:40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 t="shared" si="0"/>
        <v>0</v>
      </c>
      <c r="AK48" t="str">
        <f t="shared" si="1"/>
        <v>25-34</v>
      </c>
      <c r="AL48" t="str">
        <f t="shared" si="2"/>
        <v>5-9 yrs (Senior)</v>
      </c>
      <c r="AM48" t="str">
        <f t="shared" si="3"/>
        <v>Mid (3K-7K)</v>
      </c>
      <c r="AN48" t="str">
        <f t="shared" si="4"/>
        <v>Normal</v>
      </c>
    </row>
    <row r="49" spans="1:40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 t="shared" si="0"/>
        <v>0</v>
      </c>
      <c r="AK49" t="str">
        <f t="shared" si="1"/>
        <v>35-44</v>
      </c>
      <c r="AL49" t="str">
        <f t="shared" si="2"/>
        <v>0-1 yrs (New)</v>
      </c>
      <c r="AM49" t="str">
        <f t="shared" si="3"/>
        <v>Mid (3K-7K)</v>
      </c>
      <c r="AN49" t="str">
        <f t="shared" si="4"/>
        <v>Normal</v>
      </c>
    </row>
    <row r="50" spans="1:40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 t="shared" si="0"/>
        <v>0</v>
      </c>
      <c r="AK50" t="str">
        <f t="shared" si="1"/>
        <v>45-54</v>
      </c>
      <c r="AL50" t="str">
        <f t="shared" si="2"/>
        <v>5-9 yrs (Senior)</v>
      </c>
      <c r="AM50" t="str">
        <f t="shared" si="3"/>
        <v>Mid (3K-7K)</v>
      </c>
      <c r="AN50" t="str">
        <f t="shared" si="4"/>
        <v>Normal</v>
      </c>
    </row>
    <row r="51" spans="1:40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 t="shared" si="0"/>
        <v>0</v>
      </c>
      <c r="AK51" t="str">
        <f t="shared" si="1"/>
        <v>35-44</v>
      </c>
      <c r="AL51" t="str">
        <f t="shared" si="2"/>
        <v>0-1 yrs (New)</v>
      </c>
      <c r="AM51" t="str">
        <f t="shared" si="3"/>
        <v>Low (&lt;3K)</v>
      </c>
      <c r="AN51" t="str">
        <f t="shared" si="4"/>
        <v>Normal</v>
      </c>
    </row>
    <row r="52" spans="1:40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 t="shared" si="0"/>
        <v>1</v>
      </c>
      <c r="AK52" t="str">
        <f t="shared" si="1"/>
        <v>45-54</v>
      </c>
      <c r="AL52" t="str">
        <f t="shared" si="2"/>
        <v>0-1 yrs (New)</v>
      </c>
      <c r="AM52" t="str">
        <f t="shared" si="3"/>
        <v>Mid (3K-7K)</v>
      </c>
      <c r="AN52" t="str">
        <f t="shared" si="4"/>
        <v>Normal</v>
      </c>
    </row>
    <row r="53" spans="1:40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 t="shared" si="0"/>
        <v>1</v>
      </c>
      <c r="AK53" t="str">
        <f t="shared" si="1"/>
        <v>25-34</v>
      </c>
      <c r="AL53" t="str">
        <f t="shared" si="2"/>
        <v>2-4 yrs (Mid)</v>
      </c>
      <c r="AM53" t="str">
        <f t="shared" si="3"/>
        <v>Mid (3K-7K)</v>
      </c>
      <c r="AN53" t="str">
        <f t="shared" si="4"/>
        <v>Normal</v>
      </c>
    </row>
    <row r="54" spans="1:40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 t="shared" si="0"/>
        <v>0</v>
      </c>
      <c r="AK54" t="str">
        <f t="shared" si="1"/>
        <v>35-44</v>
      </c>
      <c r="AL54" t="str">
        <f t="shared" si="2"/>
        <v>2-4 yrs (Mid)</v>
      </c>
      <c r="AM54" t="str">
        <f t="shared" si="3"/>
        <v>Mid (3K-7K)</v>
      </c>
      <c r="AN54" t="str">
        <f t="shared" si="4"/>
        <v>High Risk</v>
      </c>
    </row>
    <row r="55" spans="1:40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 t="shared" si="0"/>
        <v>0</v>
      </c>
      <c r="AK55" t="str">
        <f t="shared" si="1"/>
        <v>35-44</v>
      </c>
      <c r="AL55" t="str">
        <f t="shared" si="2"/>
        <v>2-4 yrs (Mid)</v>
      </c>
      <c r="AM55" t="str">
        <f t="shared" si="3"/>
        <v>High (7K-12K)</v>
      </c>
      <c r="AN55" t="str">
        <f t="shared" si="4"/>
        <v>High Risk</v>
      </c>
    </row>
    <row r="56" spans="1:40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 t="shared" si="0"/>
        <v>0</v>
      </c>
      <c r="AK56" t="str">
        <f t="shared" si="1"/>
        <v>25-34</v>
      </c>
      <c r="AL56" t="str">
        <f t="shared" si="2"/>
        <v>2-4 yrs (Mid)</v>
      </c>
      <c r="AM56" t="str">
        <f t="shared" si="3"/>
        <v>Mid (3K-7K)</v>
      </c>
      <c r="AN56" t="str">
        <f t="shared" si="4"/>
        <v>Normal</v>
      </c>
    </row>
    <row r="57" spans="1:40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 t="shared" si="0"/>
        <v>0</v>
      </c>
      <c r="AK57" t="str">
        <f t="shared" si="1"/>
        <v>25-34</v>
      </c>
      <c r="AL57" t="str">
        <f t="shared" si="2"/>
        <v>10+ yrs (Veteran)</v>
      </c>
      <c r="AM57" t="str">
        <f t="shared" si="3"/>
        <v>Very High (12K+)</v>
      </c>
      <c r="AN57" t="str">
        <f t="shared" si="4"/>
        <v>Normal</v>
      </c>
    </row>
    <row r="58" spans="1:40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 t="shared" si="0"/>
        <v>0</v>
      </c>
      <c r="AK58" t="str">
        <f t="shared" si="1"/>
        <v>35-44</v>
      </c>
      <c r="AL58" t="str">
        <f t="shared" si="2"/>
        <v>5-9 yrs (Senior)</v>
      </c>
      <c r="AM58" t="str">
        <f t="shared" si="3"/>
        <v>High (7K-12K)</v>
      </c>
      <c r="AN58" t="str">
        <f t="shared" si="4"/>
        <v>Normal</v>
      </c>
    </row>
    <row r="59" spans="1:40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 t="shared" si="0"/>
        <v>0</v>
      </c>
      <c r="AK59" t="str">
        <f t="shared" si="1"/>
        <v>35-44</v>
      </c>
      <c r="AL59" t="str">
        <f t="shared" si="2"/>
        <v>2-4 yrs (Mid)</v>
      </c>
      <c r="AM59" t="str">
        <f t="shared" si="3"/>
        <v>Mid (3K-7K)</v>
      </c>
      <c r="AN59" t="str">
        <f t="shared" si="4"/>
        <v>High Risk</v>
      </c>
    </row>
    <row r="60" spans="1:40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 t="shared" si="0"/>
        <v>0</v>
      </c>
      <c r="AK60" t="str">
        <f t="shared" si="1"/>
        <v>25-34</v>
      </c>
      <c r="AL60" t="str">
        <f t="shared" si="2"/>
        <v>5-9 yrs (Senior)</v>
      </c>
      <c r="AM60" t="str">
        <f t="shared" si="3"/>
        <v>Mid (3K-7K)</v>
      </c>
      <c r="AN60" t="str">
        <f t="shared" si="4"/>
        <v>Normal</v>
      </c>
    </row>
    <row r="61" spans="1:40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 t="shared" si="0"/>
        <v>0</v>
      </c>
      <c r="AK61" t="str">
        <f t="shared" si="1"/>
        <v>35-44</v>
      </c>
      <c r="AL61" t="str">
        <f t="shared" si="2"/>
        <v>5-9 yrs (Senior)</v>
      </c>
      <c r="AM61" t="str">
        <f t="shared" si="3"/>
        <v>Mid (3K-7K)</v>
      </c>
      <c r="AN61" t="str">
        <f t="shared" si="4"/>
        <v>Normal</v>
      </c>
    </row>
    <row r="62" spans="1:40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 t="shared" si="0"/>
        <v>0</v>
      </c>
      <c r="AK62" t="str">
        <f t="shared" si="1"/>
        <v>25-34</v>
      </c>
      <c r="AL62" t="str">
        <f t="shared" si="2"/>
        <v>5-9 yrs (Senior)</v>
      </c>
      <c r="AM62" t="str">
        <f t="shared" si="3"/>
        <v>Mid (3K-7K)</v>
      </c>
      <c r="AN62" t="str">
        <f t="shared" si="4"/>
        <v>Normal</v>
      </c>
    </row>
    <row r="63" spans="1:40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 t="shared" si="0"/>
        <v>0</v>
      </c>
      <c r="AK63" t="str">
        <f t="shared" si="1"/>
        <v>35-44</v>
      </c>
      <c r="AL63" t="str">
        <f t="shared" si="2"/>
        <v>10+ yrs (Veteran)</v>
      </c>
      <c r="AM63" t="str">
        <f t="shared" si="3"/>
        <v>Low (&lt;3K)</v>
      </c>
      <c r="AN63" t="str">
        <f t="shared" si="4"/>
        <v>Normal</v>
      </c>
    </row>
    <row r="64" spans="1:40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 t="shared" si="0"/>
        <v>0</v>
      </c>
      <c r="AK64" t="str">
        <f t="shared" si="1"/>
        <v>45-54</v>
      </c>
      <c r="AL64" t="str">
        <f t="shared" si="2"/>
        <v>10+ yrs (Veteran)</v>
      </c>
      <c r="AM64" t="str">
        <f t="shared" si="3"/>
        <v>Very High (12K+)</v>
      </c>
      <c r="AN64" t="str">
        <f t="shared" si="4"/>
        <v>Normal</v>
      </c>
    </row>
    <row r="65" spans="1:40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 t="shared" si="0"/>
        <v>0</v>
      </c>
      <c r="AK65" t="str">
        <f t="shared" si="1"/>
        <v>55+</v>
      </c>
      <c r="AL65" t="str">
        <f t="shared" si="2"/>
        <v>10+ yrs (Veteran)</v>
      </c>
      <c r="AM65" t="str">
        <f t="shared" si="3"/>
        <v>High (7K-12K)</v>
      </c>
      <c r="AN65" t="str">
        <f t="shared" si="4"/>
        <v>Normal</v>
      </c>
    </row>
    <row r="66" spans="1:40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 t="shared" si="0"/>
        <v>0</v>
      </c>
      <c r="AK66" t="str">
        <f t="shared" si="1"/>
        <v>35-44</v>
      </c>
      <c r="AL66" t="str">
        <f t="shared" si="2"/>
        <v>10+ yrs (Veteran)</v>
      </c>
      <c r="AM66" t="str">
        <f t="shared" si="3"/>
        <v>High (7K-12K)</v>
      </c>
      <c r="AN66" t="str">
        <f t="shared" si="4"/>
        <v>Normal</v>
      </c>
    </row>
    <row r="67" spans="1:40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 t="shared" ref="AJ67:AJ130" si="5">IF(B67="Yes", 1, 0)</f>
        <v>0</v>
      </c>
      <c r="AK67" t="str">
        <f t="shared" ref="AK67:AK130" si="6">IF(A67&lt;25, "Under 25", IF(A67&lt;35, "25-34", IF(A67&lt;45, "35-44", IF(A67&lt;55, "45-54", "55+"))))</f>
        <v>55+</v>
      </c>
      <c r="AL67" t="str">
        <f t="shared" ref="AL67:AL130" si="7">IF(AF67&lt;2, "0-1 yrs (New)", IF(AF67&lt;5, "2-4 yrs (Mid)", IF(AF67&lt;10, "5-9 yrs (Senior)", "10+ yrs (Veteran)")))</f>
        <v>5-9 yrs (Senior)</v>
      </c>
      <c r="AM67" t="str">
        <f t="shared" ref="AM67:AM130" si="8">IF(S67&lt;3000, "Low (&lt;3K)", IF(S67&lt;7000, "Mid (3K-7K)", IF(S67&lt;12000, "High (7K-12K)", "Very High (12K+)")))</f>
        <v>Very High (12K+)</v>
      </c>
      <c r="AN67" t="str">
        <f t="shared" ref="AN67:AN130" si="9">IF(AND(W67="Yes", Q67&lt;=2), "High Risk", "Normal")</f>
        <v>Normal</v>
      </c>
    </row>
    <row r="68" spans="1:40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 t="shared" si="5"/>
        <v>0</v>
      </c>
      <c r="AK68" t="str">
        <f t="shared" si="6"/>
        <v>35-44</v>
      </c>
      <c r="AL68" t="str">
        <f t="shared" si="7"/>
        <v>5-9 yrs (Senior)</v>
      </c>
      <c r="AM68" t="str">
        <f t="shared" si="8"/>
        <v>Mid (3K-7K)</v>
      </c>
      <c r="AN68" t="str">
        <f t="shared" si="9"/>
        <v>Normal</v>
      </c>
    </row>
    <row r="69" spans="1:40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 t="shared" si="5"/>
        <v>0</v>
      </c>
      <c r="AK69" t="str">
        <f t="shared" si="6"/>
        <v>45-54</v>
      </c>
      <c r="AL69" t="str">
        <f t="shared" si="7"/>
        <v>0-1 yrs (New)</v>
      </c>
      <c r="AM69" t="str">
        <f t="shared" si="8"/>
        <v>High (7K-12K)</v>
      </c>
      <c r="AN69" t="str">
        <f t="shared" si="9"/>
        <v>Normal</v>
      </c>
    </row>
    <row r="70" spans="1:40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 t="shared" si="5"/>
        <v>0</v>
      </c>
      <c r="AK70" t="str">
        <f t="shared" si="6"/>
        <v>35-44</v>
      </c>
      <c r="AL70" t="str">
        <f t="shared" si="7"/>
        <v>2-4 yrs (Mid)</v>
      </c>
      <c r="AM70" t="str">
        <f t="shared" si="8"/>
        <v>Low (&lt;3K)</v>
      </c>
      <c r="AN70" t="str">
        <f t="shared" si="9"/>
        <v>Normal</v>
      </c>
    </row>
    <row r="71" spans="1:40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 t="shared" si="5"/>
        <v>1</v>
      </c>
      <c r="AK71" t="str">
        <f t="shared" si="6"/>
        <v>35-44</v>
      </c>
      <c r="AL71" t="str">
        <f t="shared" si="7"/>
        <v>0-1 yrs (New)</v>
      </c>
      <c r="AM71" t="str">
        <f t="shared" si="8"/>
        <v>Mid (3K-7K)</v>
      </c>
      <c r="AN71" t="str">
        <f t="shared" si="9"/>
        <v>Normal</v>
      </c>
    </row>
    <row r="72" spans="1:40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 t="shared" si="5"/>
        <v>0</v>
      </c>
      <c r="AK72" t="str">
        <f t="shared" si="6"/>
        <v>55+</v>
      </c>
      <c r="AL72" t="str">
        <f t="shared" si="7"/>
        <v>2-4 yrs (Mid)</v>
      </c>
      <c r="AM72" t="str">
        <f t="shared" si="8"/>
        <v>Mid (3K-7K)</v>
      </c>
      <c r="AN72" t="str">
        <f t="shared" si="9"/>
        <v>Normal</v>
      </c>
    </row>
    <row r="73" spans="1:40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 t="shared" si="5"/>
        <v>0</v>
      </c>
      <c r="AK73" t="str">
        <f t="shared" si="6"/>
        <v>25-34</v>
      </c>
      <c r="AL73" t="str">
        <f t="shared" si="7"/>
        <v>5-9 yrs (Senior)</v>
      </c>
      <c r="AM73" t="str">
        <f t="shared" si="8"/>
        <v>Low (&lt;3K)</v>
      </c>
      <c r="AN73" t="str">
        <f t="shared" si="9"/>
        <v>Normal</v>
      </c>
    </row>
    <row r="74" spans="1:40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 t="shared" si="5"/>
        <v>0</v>
      </c>
      <c r="AK74" t="str">
        <f t="shared" si="6"/>
        <v>25-34</v>
      </c>
      <c r="AL74" t="str">
        <f t="shared" si="7"/>
        <v>0-1 yrs (New)</v>
      </c>
      <c r="AM74" t="str">
        <f t="shared" si="8"/>
        <v>Low (&lt;3K)</v>
      </c>
      <c r="AN74" t="str">
        <f t="shared" si="9"/>
        <v>Normal</v>
      </c>
    </row>
    <row r="75" spans="1:40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 t="shared" si="5"/>
        <v>0</v>
      </c>
      <c r="AK75" t="str">
        <f t="shared" si="6"/>
        <v>25-34</v>
      </c>
      <c r="AL75" t="str">
        <f t="shared" si="7"/>
        <v>10+ yrs (Veteran)</v>
      </c>
      <c r="AM75" t="str">
        <f t="shared" si="8"/>
        <v>Mid (3K-7K)</v>
      </c>
      <c r="AN75" t="str">
        <f t="shared" si="9"/>
        <v>Normal</v>
      </c>
    </row>
    <row r="76" spans="1:40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 t="shared" si="5"/>
        <v>0</v>
      </c>
      <c r="AK76" t="str">
        <f t="shared" si="6"/>
        <v>35-44</v>
      </c>
      <c r="AL76" t="str">
        <f t="shared" si="7"/>
        <v>0-1 yrs (New)</v>
      </c>
      <c r="AM76" t="str">
        <f t="shared" si="8"/>
        <v>Mid (3K-7K)</v>
      </c>
      <c r="AN76" t="str">
        <f t="shared" si="9"/>
        <v>Normal</v>
      </c>
    </row>
    <row r="77" spans="1:40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 t="shared" si="5"/>
        <v>0</v>
      </c>
      <c r="AK77" t="str">
        <f t="shared" si="6"/>
        <v>25-34</v>
      </c>
      <c r="AL77" t="str">
        <f t="shared" si="7"/>
        <v>10+ yrs (Veteran)</v>
      </c>
      <c r="AM77" t="str">
        <f t="shared" si="8"/>
        <v>Mid (3K-7K)</v>
      </c>
      <c r="AN77" t="str">
        <f t="shared" si="9"/>
        <v>Normal</v>
      </c>
    </row>
    <row r="78" spans="1:40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 t="shared" si="5"/>
        <v>0</v>
      </c>
      <c r="AK78" t="str">
        <f t="shared" si="6"/>
        <v>35-44</v>
      </c>
      <c r="AL78" t="str">
        <f t="shared" si="7"/>
        <v>10+ yrs (Veteran)</v>
      </c>
      <c r="AM78" t="str">
        <f t="shared" si="8"/>
        <v>Mid (3K-7K)</v>
      </c>
      <c r="AN78" t="str">
        <f t="shared" si="9"/>
        <v>Normal</v>
      </c>
    </row>
    <row r="79" spans="1:40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 t="shared" si="5"/>
        <v>0</v>
      </c>
      <c r="AK79" t="str">
        <f t="shared" si="6"/>
        <v>45-54</v>
      </c>
      <c r="AL79" t="str">
        <f t="shared" si="7"/>
        <v>0-1 yrs (New)</v>
      </c>
      <c r="AM79" t="str">
        <f t="shared" si="8"/>
        <v>Very High (12K+)</v>
      </c>
      <c r="AN79" t="str">
        <f t="shared" si="9"/>
        <v>High Risk</v>
      </c>
    </row>
    <row r="80" spans="1:40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 t="shared" si="5"/>
        <v>0</v>
      </c>
      <c r="AK80" t="str">
        <f t="shared" si="6"/>
        <v>35-44</v>
      </c>
      <c r="AL80" t="str">
        <f t="shared" si="7"/>
        <v>5-9 yrs (Senior)</v>
      </c>
      <c r="AM80" t="str">
        <f t="shared" si="8"/>
        <v>Very High (12K+)</v>
      </c>
      <c r="AN80" t="str">
        <f t="shared" si="9"/>
        <v>Normal</v>
      </c>
    </row>
    <row r="81" spans="1:40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 t="shared" si="5"/>
        <v>0</v>
      </c>
      <c r="AK81" t="str">
        <f t="shared" si="6"/>
        <v>45-54</v>
      </c>
      <c r="AL81" t="str">
        <f t="shared" si="7"/>
        <v>2-4 yrs (Mid)</v>
      </c>
      <c r="AM81" t="str">
        <f t="shared" si="8"/>
        <v>Mid (3K-7K)</v>
      </c>
      <c r="AN81" t="str">
        <f t="shared" si="9"/>
        <v>High Risk</v>
      </c>
    </row>
    <row r="82" spans="1:40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 t="shared" si="5"/>
        <v>0</v>
      </c>
      <c r="AK82" t="str">
        <f t="shared" si="6"/>
        <v>25-34</v>
      </c>
      <c r="AL82" t="str">
        <f t="shared" si="7"/>
        <v>10+ yrs (Veteran)</v>
      </c>
      <c r="AM82" t="str">
        <f t="shared" si="8"/>
        <v>Mid (3K-7K)</v>
      </c>
      <c r="AN82" t="str">
        <f t="shared" si="9"/>
        <v>Normal</v>
      </c>
    </row>
    <row r="83" spans="1:40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 t="shared" si="5"/>
        <v>0</v>
      </c>
      <c r="AK83" t="str">
        <f t="shared" si="6"/>
        <v>35-44</v>
      </c>
      <c r="AL83" t="str">
        <f t="shared" si="7"/>
        <v>5-9 yrs (Senior)</v>
      </c>
      <c r="AM83" t="str">
        <f t="shared" si="8"/>
        <v>Low (&lt;3K)</v>
      </c>
      <c r="AN83" t="str">
        <f t="shared" si="9"/>
        <v>Normal</v>
      </c>
    </row>
    <row r="84" spans="1:40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 t="shared" si="5"/>
        <v>0</v>
      </c>
      <c r="AK84" t="str">
        <f t="shared" si="6"/>
        <v>55+</v>
      </c>
      <c r="AL84" t="str">
        <f t="shared" si="7"/>
        <v>0-1 yrs (New)</v>
      </c>
      <c r="AM84" t="str">
        <f t="shared" si="8"/>
        <v>High (7K-12K)</v>
      </c>
      <c r="AN84" t="str">
        <f t="shared" si="9"/>
        <v>Normal</v>
      </c>
    </row>
    <row r="85" spans="1:40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 t="shared" si="5"/>
        <v>0</v>
      </c>
      <c r="AK85" t="str">
        <f t="shared" si="6"/>
        <v>35-44</v>
      </c>
      <c r="AL85" t="str">
        <f t="shared" si="7"/>
        <v>10+ yrs (Veteran)</v>
      </c>
      <c r="AM85" t="str">
        <f t="shared" si="8"/>
        <v>Mid (3K-7K)</v>
      </c>
      <c r="AN85" t="str">
        <f t="shared" si="9"/>
        <v>Normal</v>
      </c>
    </row>
    <row r="86" spans="1:40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 t="shared" si="5"/>
        <v>0</v>
      </c>
      <c r="AK86" t="str">
        <f t="shared" si="6"/>
        <v>25-34</v>
      </c>
      <c r="AL86" t="str">
        <f t="shared" si="7"/>
        <v>5-9 yrs (Senior)</v>
      </c>
      <c r="AM86" t="str">
        <f t="shared" si="8"/>
        <v>Mid (3K-7K)</v>
      </c>
      <c r="AN86" t="str">
        <f t="shared" si="9"/>
        <v>Normal</v>
      </c>
    </row>
    <row r="87" spans="1:40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 t="shared" si="5"/>
        <v>0</v>
      </c>
      <c r="AK87" t="str">
        <f t="shared" si="6"/>
        <v>55+</v>
      </c>
      <c r="AL87" t="str">
        <f t="shared" si="7"/>
        <v>5-9 yrs (Senior)</v>
      </c>
      <c r="AM87" t="str">
        <f t="shared" si="8"/>
        <v>High (7K-12K)</v>
      </c>
      <c r="AN87" t="str">
        <f t="shared" si="9"/>
        <v>Normal</v>
      </c>
    </row>
    <row r="88" spans="1:40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 t="shared" si="5"/>
        <v>0</v>
      </c>
      <c r="AK88" t="str">
        <f t="shared" si="6"/>
        <v>Under 25</v>
      </c>
      <c r="AL88" t="str">
        <f t="shared" si="7"/>
        <v>0-1 yrs (New)</v>
      </c>
      <c r="AM88" t="str">
        <f t="shared" si="8"/>
        <v>Low (&lt;3K)</v>
      </c>
      <c r="AN88" t="str">
        <f t="shared" si="9"/>
        <v>Normal</v>
      </c>
    </row>
    <row r="89" spans="1:40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 t="shared" si="5"/>
        <v>0</v>
      </c>
      <c r="AK89" t="str">
        <f t="shared" si="6"/>
        <v>45-54</v>
      </c>
      <c r="AL89" t="str">
        <f t="shared" si="7"/>
        <v>2-4 yrs (Mid)</v>
      </c>
      <c r="AM89" t="str">
        <f t="shared" si="8"/>
        <v>Low (&lt;3K)</v>
      </c>
      <c r="AN89" t="str">
        <f t="shared" si="9"/>
        <v>Normal</v>
      </c>
    </row>
    <row r="90" spans="1:40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 t="shared" si="5"/>
        <v>0</v>
      </c>
      <c r="AK90" t="str">
        <f t="shared" si="6"/>
        <v>25-34</v>
      </c>
      <c r="AL90" t="str">
        <f t="shared" si="7"/>
        <v>10+ yrs (Veteran)</v>
      </c>
      <c r="AM90" t="str">
        <f t="shared" si="8"/>
        <v>Mid (3K-7K)</v>
      </c>
      <c r="AN90" t="str">
        <f t="shared" si="9"/>
        <v>Normal</v>
      </c>
    </row>
    <row r="91" spans="1:40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 t="shared" si="5"/>
        <v>1</v>
      </c>
      <c r="AK91" t="str">
        <f t="shared" si="6"/>
        <v>45-54</v>
      </c>
      <c r="AL91" t="str">
        <f t="shared" si="7"/>
        <v>5-9 yrs (Senior)</v>
      </c>
      <c r="AM91" t="str">
        <f t="shared" si="8"/>
        <v>High (7K-12K)</v>
      </c>
      <c r="AN91" t="str">
        <f t="shared" si="9"/>
        <v>Normal</v>
      </c>
    </row>
    <row r="92" spans="1:40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 t="shared" si="5"/>
        <v>0</v>
      </c>
      <c r="AK92" t="str">
        <f t="shared" si="6"/>
        <v>35-44</v>
      </c>
      <c r="AL92" t="str">
        <f t="shared" si="7"/>
        <v>10+ yrs (Veteran)</v>
      </c>
      <c r="AM92" t="str">
        <f t="shared" si="8"/>
        <v>Very High (12K+)</v>
      </c>
      <c r="AN92" t="str">
        <f t="shared" si="9"/>
        <v>Normal</v>
      </c>
    </row>
    <row r="93" spans="1:40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 t="shared" si="5"/>
        <v>0</v>
      </c>
      <c r="AK93" t="str">
        <f t="shared" si="6"/>
        <v>45-54</v>
      </c>
      <c r="AL93" t="str">
        <f t="shared" si="7"/>
        <v>10+ yrs (Veteran)</v>
      </c>
      <c r="AM93" t="str">
        <f t="shared" si="8"/>
        <v>Mid (3K-7K)</v>
      </c>
      <c r="AN93" t="str">
        <f t="shared" si="9"/>
        <v>Normal</v>
      </c>
    </row>
    <row r="94" spans="1:40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 t="shared" si="5"/>
        <v>0</v>
      </c>
      <c r="AK94" t="str">
        <f t="shared" si="6"/>
        <v>25-34</v>
      </c>
      <c r="AL94" t="str">
        <f t="shared" si="7"/>
        <v>10+ yrs (Veteran)</v>
      </c>
      <c r="AM94" t="str">
        <f t="shared" si="8"/>
        <v>Mid (3K-7K)</v>
      </c>
      <c r="AN94" t="str">
        <f t="shared" si="9"/>
        <v>High Risk</v>
      </c>
    </row>
    <row r="95" spans="1:40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 t="shared" si="5"/>
        <v>0</v>
      </c>
      <c r="AK95" t="str">
        <f t="shared" si="6"/>
        <v>45-54</v>
      </c>
      <c r="AL95" t="str">
        <f t="shared" si="7"/>
        <v>10+ yrs (Veteran)</v>
      </c>
      <c r="AM95" t="str">
        <f t="shared" si="8"/>
        <v>High (7K-12K)</v>
      </c>
      <c r="AN95" t="str">
        <f t="shared" si="9"/>
        <v>High Risk</v>
      </c>
    </row>
    <row r="96" spans="1:40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 t="shared" si="5"/>
        <v>0</v>
      </c>
      <c r="AK96" t="str">
        <f t="shared" si="6"/>
        <v>25-34</v>
      </c>
      <c r="AL96" t="str">
        <f t="shared" si="7"/>
        <v>10+ yrs (Veteran)</v>
      </c>
      <c r="AM96" t="str">
        <f t="shared" si="8"/>
        <v>Mid (3K-7K)</v>
      </c>
      <c r="AN96" t="str">
        <f t="shared" si="9"/>
        <v>Normal</v>
      </c>
    </row>
    <row r="97" spans="1:40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 t="shared" si="5"/>
        <v>0</v>
      </c>
      <c r="AK97" t="str">
        <f t="shared" si="6"/>
        <v>45-54</v>
      </c>
      <c r="AL97" t="str">
        <f t="shared" si="7"/>
        <v>2-4 yrs (Mid)</v>
      </c>
      <c r="AM97" t="str">
        <f t="shared" si="8"/>
        <v>Very High (12K+)</v>
      </c>
      <c r="AN97" t="str">
        <f t="shared" si="9"/>
        <v>Normal</v>
      </c>
    </row>
    <row r="98" spans="1:40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 t="shared" si="5"/>
        <v>0</v>
      </c>
      <c r="AK98" t="str">
        <f t="shared" si="6"/>
        <v>Under 25</v>
      </c>
      <c r="AL98" t="str">
        <f t="shared" si="7"/>
        <v>2-4 yrs (Mid)</v>
      </c>
      <c r="AM98" t="str">
        <f t="shared" si="8"/>
        <v>Mid (3K-7K)</v>
      </c>
      <c r="AN98" t="str">
        <f t="shared" si="9"/>
        <v>Normal</v>
      </c>
    </row>
    <row r="99" spans="1:40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 t="shared" si="5"/>
        <v>0</v>
      </c>
      <c r="AK99" t="str">
        <f t="shared" si="6"/>
        <v>25-34</v>
      </c>
      <c r="AL99" t="str">
        <f t="shared" si="7"/>
        <v>5-9 yrs (Senior)</v>
      </c>
      <c r="AM99" t="str">
        <f t="shared" si="8"/>
        <v>Mid (3K-7K)</v>
      </c>
      <c r="AN99" t="str">
        <f t="shared" si="9"/>
        <v>Normal</v>
      </c>
    </row>
    <row r="100" spans="1:40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 t="shared" si="5"/>
        <v>0</v>
      </c>
      <c r="AK100" t="str">
        <f t="shared" si="6"/>
        <v>55+</v>
      </c>
      <c r="AL100" t="str">
        <f t="shared" si="7"/>
        <v>10+ yrs (Veteran)</v>
      </c>
      <c r="AM100" t="str">
        <f t="shared" si="8"/>
        <v>Very High (12K+)</v>
      </c>
      <c r="AN100" t="str">
        <f t="shared" si="9"/>
        <v>Normal</v>
      </c>
    </row>
    <row r="101" spans="1:40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 t="shared" si="5"/>
        <v>0</v>
      </c>
      <c r="AK101" t="str">
        <f t="shared" si="6"/>
        <v>35-44</v>
      </c>
      <c r="AL101" t="str">
        <f t="shared" si="7"/>
        <v>2-4 yrs (Mid)</v>
      </c>
      <c r="AM101" t="str">
        <f t="shared" si="8"/>
        <v>Low (&lt;3K)</v>
      </c>
      <c r="AN101" t="str">
        <f t="shared" si="9"/>
        <v>Normal</v>
      </c>
    </row>
    <row r="102" spans="1:40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 t="shared" si="5"/>
        <v>1</v>
      </c>
      <c r="AK102" t="str">
        <f t="shared" si="6"/>
        <v>35-44</v>
      </c>
      <c r="AL102" t="str">
        <f t="shared" si="7"/>
        <v>2-4 yrs (Mid)</v>
      </c>
      <c r="AM102" t="str">
        <f t="shared" si="8"/>
        <v>Low (&lt;3K)</v>
      </c>
      <c r="AN102" t="str">
        <f t="shared" si="9"/>
        <v>High Risk</v>
      </c>
    </row>
    <row r="103" spans="1:40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 t="shared" si="5"/>
        <v>0</v>
      </c>
      <c r="AK103" t="str">
        <f t="shared" si="6"/>
        <v>25-34</v>
      </c>
      <c r="AL103" t="str">
        <f t="shared" si="7"/>
        <v>0-1 yrs (New)</v>
      </c>
      <c r="AM103" t="str">
        <f t="shared" si="8"/>
        <v>Low (&lt;3K)</v>
      </c>
      <c r="AN103" t="str">
        <f t="shared" si="9"/>
        <v>Normal</v>
      </c>
    </row>
    <row r="104" spans="1:40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 t="shared" si="5"/>
        <v>1</v>
      </c>
      <c r="AK104" t="str">
        <f t="shared" si="6"/>
        <v>Under 25</v>
      </c>
      <c r="AL104" t="str">
        <f t="shared" si="7"/>
        <v>0-1 yrs (New)</v>
      </c>
      <c r="AM104" t="str">
        <f t="shared" si="8"/>
        <v>Low (&lt;3K)</v>
      </c>
      <c r="AN104" t="str">
        <f t="shared" si="9"/>
        <v>Normal</v>
      </c>
    </row>
    <row r="105" spans="1:40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 t="shared" si="5"/>
        <v>0</v>
      </c>
      <c r="AK105" t="str">
        <f t="shared" si="6"/>
        <v>25-34</v>
      </c>
      <c r="AL105" t="str">
        <f t="shared" si="7"/>
        <v>10+ yrs (Veteran)</v>
      </c>
      <c r="AM105" t="str">
        <f t="shared" si="8"/>
        <v>Mid (3K-7K)</v>
      </c>
      <c r="AN105" t="str">
        <f t="shared" si="9"/>
        <v>Normal</v>
      </c>
    </row>
    <row r="106" spans="1:40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 t="shared" si="5"/>
        <v>0</v>
      </c>
      <c r="AK106" t="str">
        <f t="shared" si="6"/>
        <v>35-44</v>
      </c>
      <c r="AL106" t="str">
        <f t="shared" si="7"/>
        <v>0-1 yrs (New)</v>
      </c>
      <c r="AM106" t="str">
        <f t="shared" si="8"/>
        <v>Mid (3K-7K)</v>
      </c>
      <c r="AN106" t="str">
        <f t="shared" si="9"/>
        <v>Normal</v>
      </c>
    </row>
    <row r="107" spans="1:40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 t="shared" si="5"/>
        <v>0</v>
      </c>
      <c r="AK107" t="str">
        <f t="shared" si="6"/>
        <v>55+</v>
      </c>
      <c r="AL107" t="str">
        <f t="shared" si="7"/>
        <v>2-4 yrs (Mid)</v>
      </c>
      <c r="AM107" t="str">
        <f t="shared" si="8"/>
        <v>Very High (12K+)</v>
      </c>
      <c r="AN107" t="str">
        <f t="shared" si="9"/>
        <v>Normal</v>
      </c>
    </row>
    <row r="108" spans="1:40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 t="shared" si="5"/>
        <v>0</v>
      </c>
      <c r="AK108" t="str">
        <f t="shared" si="6"/>
        <v>45-54</v>
      </c>
      <c r="AL108" t="str">
        <f t="shared" si="7"/>
        <v>5-9 yrs (Senior)</v>
      </c>
      <c r="AM108" t="str">
        <f t="shared" si="8"/>
        <v>Very High (12K+)</v>
      </c>
      <c r="AN108" t="str">
        <f t="shared" si="9"/>
        <v>High Risk</v>
      </c>
    </row>
    <row r="109" spans="1:40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 t="shared" si="5"/>
        <v>1</v>
      </c>
      <c r="AK109" t="str">
        <f t="shared" si="6"/>
        <v>25-34</v>
      </c>
      <c r="AL109" t="str">
        <f t="shared" si="7"/>
        <v>5-9 yrs (Senior)</v>
      </c>
      <c r="AM109" t="str">
        <f t="shared" si="8"/>
        <v>Mid (3K-7K)</v>
      </c>
      <c r="AN109" t="str">
        <f t="shared" si="9"/>
        <v>Normal</v>
      </c>
    </row>
    <row r="110" spans="1:40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 t="shared" si="5"/>
        <v>0</v>
      </c>
      <c r="AK110" t="str">
        <f t="shared" si="6"/>
        <v>25-34</v>
      </c>
      <c r="AL110" t="str">
        <f t="shared" si="7"/>
        <v>2-4 yrs (Mid)</v>
      </c>
      <c r="AM110" t="str">
        <f t="shared" si="8"/>
        <v>Low (&lt;3K)</v>
      </c>
      <c r="AN110" t="str">
        <f t="shared" si="9"/>
        <v>Normal</v>
      </c>
    </row>
    <row r="111" spans="1:40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 t="shared" si="5"/>
        <v>0</v>
      </c>
      <c r="AK111" t="str">
        <f t="shared" si="6"/>
        <v>Under 25</v>
      </c>
      <c r="AL111" t="str">
        <f t="shared" si="7"/>
        <v>0-1 yrs (New)</v>
      </c>
      <c r="AM111" t="str">
        <f t="shared" si="8"/>
        <v>Low (&lt;3K)</v>
      </c>
      <c r="AN111" t="str">
        <f t="shared" si="9"/>
        <v>Normal</v>
      </c>
    </row>
    <row r="112" spans="1:40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 t="shared" si="5"/>
        <v>0</v>
      </c>
      <c r="AK112" t="str">
        <f t="shared" si="6"/>
        <v>45-54</v>
      </c>
      <c r="AL112" t="str">
        <f t="shared" si="7"/>
        <v>10+ yrs (Veteran)</v>
      </c>
      <c r="AM112" t="str">
        <f t="shared" si="8"/>
        <v>High (7K-12K)</v>
      </c>
      <c r="AN112" t="str">
        <f t="shared" si="9"/>
        <v>Normal</v>
      </c>
    </row>
    <row r="113" spans="1:40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 t="shared" si="5"/>
        <v>1</v>
      </c>
      <c r="AK113" t="str">
        <f t="shared" si="6"/>
        <v>25-34</v>
      </c>
      <c r="AL113" t="str">
        <f t="shared" si="7"/>
        <v>5-9 yrs (Senior)</v>
      </c>
      <c r="AM113" t="str">
        <f t="shared" si="8"/>
        <v>Mid (3K-7K)</v>
      </c>
      <c r="AN113" t="str">
        <f t="shared" si="9"/>
        <v>Normal</v>
      </c>
    </row>
    <row r="114" spans="1:40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 t="shared" si="5"/>
        <v>0</v>
      </c>
      <c r="AK114" t="str">
        <f t="shared" si="6"/>
        <v>45-54</v>
      </c>
      <c r="AL114" t="str">
        <f t="shared" si="7"/>
        <v>5-9 yrs (Senior)</v>
      </c>
      <c r="AM114" t="str">
        <f t="shared" si="8"/>
        <v>Very High (12K+)</v>
      </c>
      <c r="AN114" t="str">
        <f t="shared" si="9"/>
        <v>Normal</v>
      </c>
    </row>
    <row r="115" spans="1:40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 t="shared" si="5"/>
        <v>0</v>
      </c>
      <c r="AK115" t="str">
        <f t="shared" si="6"/>
        <v>Under 25</v>
      </c>
      <c r="AL115" t="str">
        <f t="shared" si="7"/>
        <v>5-9 yrs (Senior)</v>
      </c>
      <c r="AM115" t="str">
        <f t="shared" si="8"/>
        <v>Low (&lt;3K)</v>
      </c>
      <c r="AN115" t="str">
        <f t="shared" si="9"/>
        <v>Normal</v>
      </c>
    </row>
    <row r="116" spans="1:40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 t="shared" si="5"/>
        <v>0</v>
      </c>
      <c r="AK116" t="str">
        <f t="shared" si="6"/>
        <v>25-34</v>
      </c>
      <c r="AL116" t="str">
        <f t="shared" si="7"/>
        <v>0-1 yrs (New)</v>
      </c>
      <c r="AM116" t="str">
        <f t="shared" si="8"/>
        <v>Mid (3K-7K)</v>
      </c>
      <c r="AN116" t="str">
        <f t="shared" si="9"/>
        <v>Normal</v>
      </c>
    </row>
    <row r="117" spans="1:40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 t="shared" si="5"/>
        <v>0</v>
      </c>
      <c r="AK117" t="str">
        <f t="shared" si="6"/>
        <v>35-44</v>
      </c>
      <c r="AL117" t="str">
        <f t="shared" si="7"/>
        <v>5-9 yrs (Senior)</v>
      </c>
      <c r="AM117" t="str">
        <f t="shared" si="8"/>
        <v>High (7K-12K)</v>
      </c>
      <c r="AN117" t="str">
        <f t="shared" si="9"/>
        <v>Normal</v>
      </c>
    </row>
    <row r="118" spans="1:40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 t="shared" si="5"/>
        <v>0</v>
      </c>
      <c r="AK118" t="str">
        <f t="shared" si="6"/>
        <v>25-34</v>
      </c>
      <c r="AL118" t="str">
        <f t="shared" si="7"/>
        <v>10+ yrs (Veteran)</v>
      </c>
      <c r="AM118" t="str">
        <f t="shared" si="8"/>
        <v>High (7K-12K)</v>
      </c>
      <c r="AN118" t="str">
        <f t="shared" si="9"/>
        <v>Normal</v>
      </c>
    </row>
    <row r="119" spans="1:40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 t="shared" si="5"/>
        <v>0</v>
      </c>
      <c r="AK119" t="str">
        <f t="shared" si="6"/>
        <v>35-44</v>
      </c>
      <c r="AL119" t="str">
        <f t="shared" si="7"/>
        <v>5-9 yrs (Senior)</v>
      </c>
      <c r="AM119" t="str">
        <f t="shared" si="8"/>
        <v>High (7K-12K)</v>
      </c>
      <c r="AN119" t="str">
        <f t="shared" si="9"/>
        <v>Normal</v>
      </c>
    </row>
    <row r="120" spans="1:40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 t="shared" si="5"/>
        <v>0</v>
      </c>
      <c r="AK120" t="str">
        <f t="shared" si="6"/>
        <v>35-44</v>
      </c>
      <c r="AL120" t="str">
        <f t="shared" si="7"/>
        <v>0-1 yrs (New)</v>
      </c>
      <c r="AM120" t="str">
        <f t="shared" si="8"/>
        <v>Low (&lt;3K)</v>
      </c>
      <c r="AN120" t="str">
        <f t="shared" si="9"/>
        <v>Normal</v>
      </c>
    </row>
    <row r="121" spans="1:40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 t="shared" si="5"/>
        <v>0</v>
      </c>
      <c r="AK121" t="str">
        <f t="shared" si="6"/>
        <v>35-44</v>
      </c>
      <c r="AL121" t="str">
        <f t="shared" si="7"/>
        <v>10+ yrs (Veteran)</v>
      </c>
      <c r="AM121" t="str">
        <f t="shared" si="8"/>
        <v>Very High (12K+)</v>
      </c>
      <c r="AN121" t="str">
        <f t="shared" si="9"/>
        <v>Normal</v>
      </c>
    </row>
    <row r="122" spans="1:40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 t="shared" si="5"/>
        <v>0</v>
      </c>
      <c r="AK122" t="str">
        <f t="shared" si="6"/>
        <v>25-34</v>
      </c>
      <c r="AL122" t="str">
        <f t="shared" si="7"/>
        <v>10+ yrs (Veteran)</v>
      </c>
      <c r="AM122" t="str">
        <f t="shared" si="8"/>
        <v>Low (&lt;3K)</v>
      </c>
      <c r="AN122" t="str">
        <f t="shared" si="9"/>
        <v>Normal</v>
      </c>
    </row>
    <row r="123" spans="1:40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 t="shared" si="5"/>
        <v>0</v>
      </c>
      <c r="AK123" t="str">
        <f t="shared" si="6"/>
        <v>25-34</v>
      </c>
      <c r="AL123" t="str">
        <f t="shared" si="7"/>
        <v>5-9 yrs (Senior)</v>
      </c>
      <c r="AM123" t="str">
        <f t="shared" si="8"/>
        <v>Mid (3K-7K)</v>
      </c>
      <c r="AN123" t="str">
        <f t="shared" si="9"/>
        <v>Normal</v>
      </c>
    </row>
    <row r="124" spans="1:40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 t="shared" si="5"/>
        <v>1</v>
      </c>
      <c r="AK124" t="str">
        <f t="shared" si="6"/>
        <v>55+</v>
      </c>
      <c r="AL124" t="str">
        <f t="shared" si="7"/>
        <v>5-9 yrs (Senior)</v>
      </c>
      <c r="AM124" t="str">
        <f t="shared" si="8"/>
        <v>Mid (3K-7K)</v>
      </c>
      <c r="AN124" t="str">
        <f t="shared" si="9"/>
        <v>High Risk</v>
      </c>
    </row>
    <row r="125" spans="1:40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 t="shared" si="5"/>
        <v>0</v>
      </c>
      <c r="AK125" t="str">
        <f t="shared" si="6"/>
        <v>45-54</v>
      </c>
      <c r="AL125" t="str">
        <f t="shared" si="7"/>
        <v>10+ yrs (Veteran)</v>
      </c>
      <c r="AM125" t="str">
        <f t="shared" si="8"/>
        <v>Very High (12K+)</v>
      </c>
      <c r="AN125" t="str">
        <f t="shared" si="9"/>
        <v>Normal</v>
      </c>
    </row>
    <row r="126" spans="1:40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 t="shared" si="5"/>
        <v>1</v>
      </c>
      <c r="AK126" t="str">
        <f t="shared" si="6"/>
        <v>25-34</v>
      </c>
      <c r="AL126" t="str">
        <f t="shared" si="7"/>
        <v>5-9 yrs (Senior)</v>
      </c>
      <c r="AM126" t="str">
        <f t="shared" si="8"/>
        <v>Mid (3K-7K)</v>
      </c>
      <c r="AN126" t="str">
        <f t="shared" si="9"/>
        <v>Normal</v>
      </c>
    </row>
    <row r="127" spans="1:40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 t="shared" si="5"/>
        <v>0</v>
      </c>
      <c r="AK127" t="str">
        <f t="shared" si="6"/>
        <v>25-34</v>
      </c>
      <c r="AL127" t="str">
        <f t="shared" si="7"/>
        <v>5-9 yrs (Senior)</v>
      </c>
      <c r="AM127" t="str">
        <f t="shared" si="8"/>
        <v>Low (&lt;3K)</v>
      </c>
      <c r="AN127" t="str">
        <f t="shared" si="9"/>
        <v>Normal</v>
      </c>
    </row>
    <row r="128" spans="1:40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 t="shared" si="5"/>
        <v>1</v>
      </c>
      <c r="AK128" t="str">
        <f t="shared" si="6"/>
        <v>55+</v>
      </c>
      <c r="AL128" t="str">
        <f t="shared" si="7"/>
        <v>10+ yrs (Veteran)</v>
      </c>
      <c r="AM128" t="str">
        <f t="shared" si="8"/>
        <v>High (7K-12K)</v>
      </c>
      <c r="AN128" t="str">
        <f t="shared" si="9"/>
        <v>Normal</v>
      </c>
    </row>
    <row r="129" spans="1:40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 t="shared" si="5"/>
        <v>1</v>
      </c>
      <c r="AK129" t="str">
        <f t="shared" si="6"/>
        <v>Under 25</v>
      </c>
      <c r="AL129" t="str">
        <f t="shared" si="7"/>
        <v>0-1 yrs (New)</v>
      </c>
      <c r="AM129" t="str">
        <f t="shared" si="8"/>
        <v>Low (&lt;3K)</v>
      </c>
      <c r="AN129" t="str">
        <f t="shared" si="9"/>
        <v>Normal</v>
      </c>
    </row>
    <row r="130" spans="1:40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 t="shared" si="5"/>
        <v>0</v>
      </c>
      <c r="AK130" t="str">
        <f t="shared" si="6"/>
        <v>Under 25</v>
      </c>
      <c r="AL130" t="str">
        <f t="shared" si="7"/>
        <v>2-4 yrs (Mid)</v>
      </c>
      <c r="AM130" t="str">
        <f t="shared" si="8"/>
        <v>Low (&lt;3K)</v>
      </c>
      <c r="AN130" t="str">
        <f t="shared" si="9"/>
        <v>Normal</v>
      </c>
    </row>
    <row r="131" spans="1:40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 t="shared" ref="AJ131:AJ194" si="10">IF(B131="Yes", 1, 0)</f>
        <v>0</v>
      </c>
      <c r="AK131" t="str">
        <f t="shared" ref="AK131:AK194" si="11">IF(A131&lt;25, "Under 25", IF(A131&lt;35, "25-34", IF(A131&lt;45, "35-44", IF(A131&lt;55, "45-54", "55+"))))</f>
        <v>45-54</v>
      </c>
      <c r="AL131" t="str">
        <f t="shared" ref="AL131:AL194" si="12">IF(AF131&lt;2, "0-1 yrs (New)", IF(AF131&lt;5, "2-4 yrs (Mid)", IF(AF131&lt;10, "5-9 yrs (Senior)", "10+ yrs (Veteran)")))</f>
        <v>10+ yrs (Veteran)</v>
      </c>
      <c r="AM131" t="str">
        <f t="shared" ref="AM131:AM194" si="13">IF(S131&lt;3000, "Low (&lt;3K)", IF(S131&lt;7000, "Mid (3K-7K)", IF(S131&lt;12000, "High (7K-12K)", "Very High (12K+)")))</f>
        <v>Mid (3K-7K)</v>
      </c>
      <c r="AN131" t="str">
        <f t="shared" ref="AN131:AN194" si="14">IF(AND(W131="Yes", Q131&lt;=2), "High Risk", "Normal")</f>
        <v>Normal</v>
      </c>
    </row>
    <row r="132" spans="1:40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 t="shared" si="10"/>
        <v>0</v>
      </c>
      <c r="AK132" t="str">
        <f t="shared" si="11"/>
        <v>35-44</v>
      </c>
      <c r="AL132" t="str">
        <f t="shared" si="12"/>
        <v>2-4 yrs (Mid)</v>
      </c>
      <c r="AM132" t="str">
        <f t="shared" si="13"/>
        <v>Mid (3K-7K)</v>
      </c>
      <c r="AN132" t="str">
        <f t="shared" si="14"/>
        <v>Normal</v>
      </c>
    </row>
    <row r="133" spans="1:40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 t="shared" si="10"/>
        <v>0</v>
      </c>
      <c r="AK133" t="str">
        <f t="shared" si="11"/>
        <v>45-54</v>
      </c>
      <c r="AL133" t="str">
        <f t="shared" si="12"/>
        <v>2-4 yrs (Mid)</v>
      </c>
      <c r="AM133" t="str">
        <f t="shared" si="13"/>
        <v>High (7K-12K)</v>
      </c>
      <c r="AN133" t="str">
        <f t="shared" si="14"/>
        <v>Normal</v>
      </c>
    </row>
    <row r="134" spans="1:40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 t="shared" si="10"/>
        <v>1</v>
      </c>
      <c r="AK134" t="str">
        <f t="shared" si="11"/>
        <v>25-34</v>
      </c>
      <c r="AL134" t="str">
        <f t="shared" si="12"/>
        <v>2-4 yrs (Mid)</v>
      </c>
      <c r="AM134" t="str">
        <f t="shared" si="13"/>
        <v>Mid (3K-7K)</v>
      </c>
      <c r="AN134" t="str">
        <f t="shared" si="14"/>
        <v>Normal</v>
      </c>
    </row>
    <row r="135" spans="1:40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 t="shared" si="10"/>
        <v>0</v>
      </c>
      <c r="AK135" t="str">
        <f t="shared" si="11"/>
        <v>35-44</v>
      </c>
      <c r="AL135" t="str">
        <f t="shared" si="12"/>
        <v>5-9 yrs (Senior)</v>
      </c>
      <c r="AM135" t="str">
        <f t="shared" si="13"/>
        <v>High (7K-12K)</v>
      </c>
      <c r="AN135" t="str">
        <f t="shared" si="14"/>
        <v>Normal</v>
      </c>
    </row>
    <row r="136" spans="1:40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 t="shared" si="10"/>
        <v>0</v>
      </c>
      <c r="AK136" t="str">
        <f t="shared" si="11"/>
        <v>25-34</v>
      </c>
      <c r="AL136" t="str">
        <f t="shared" si="12"/>
        <v>5-9 yrs (Senior)</v>
      </c>
      <c r="AM136" t="str">
        <f t="shared" si="13"/>
        <v>Low (&lt;3K)</v>
      </c>
      <c r="AN136" t="str">
        <f t="shared" si="14"/>
        <v>Normal</v>
      </c>
    </row>
    <row r="137" spans="1:40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 t="shared" si="10"/>
        <v>0</v>
      </c>
      <c r="AK137" t="str">
        <f t="shared" si="11"/>
        <v>35-44</v>
      </c>
      <c r="AL137" t="str">
        <f t="shared" si="12"/>
        <v>2-4 yrs (Mid)</v>
      </c>
      <c r="AM137" t="str">
        <f t="shared" si="13"/>
        <v>Mid (3K-7K)</v>
      </c>
      <c r="AN137" t="str">
        <f t="shared" si="14"/>
        <v>Normal</v>
      </c>
    </row>
    <row r="138" spans="1:40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 t="shared" si="10"/>
        <v>1</v>
      </c>
      <c r="AK138" t="str">
        <f t="shared" si="11"/>
        <v>45-54</v>
      </c>
      <c r="AL138" t="str">
        <f t="shared" si="12"/>
        <v>2-4 yrs (Mid)</v>
      </c>
      <c r="AM138" t="str">
        <f t="shared" si="13"/>
        <v>High (7K-12K)</v>
      </c>
      <c r="AN138" t="str">
        <f t="shared" si="14"/>
        <v>Normal</v>
      </c>
    </row>
    <row r="139" spans="1:40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 t="shared" si="10"/>
        <v>0</v>
      </c>
      <c r="AK139" t="str">
        <f t="shared" si="11"/>
        <v>35-44</v>
      </c>
      <c r="AL139" t="str">
        <f t="shared" si="12"/>
        <v>10+ yrs (Veteran)</v>
      </c>
      <c r="AM139" t="str">
        <f t="shared" si="13"/>
        <v>Mid (3K-7K)</v>
      </c>
      <c r="AN139" t="str">
        <f t="shared" si="14"/>
        <v>Normal</v>
      </c>
    </row>
    <row r="140" spans="1:40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 t="shared" si="10"/>
        <v>0</v>
      </c>
      <c r="AK140" t="str">
        <f t="shared" si="11"/>
        <v>25-34</v>
      </c>
      <c r="AL140" t="str">
        <f t="shared" si="12"/>
        <v>2-4 yrs (Mid)</v>
      </c>
      <c r="AM140" t="str">
        <f t="shared" si="13"/>
        <v>High (7K-12K)</v>
      </c>
      <c r="AN140" t="str">
        <f t="shared" si="14"/>
        <v>Normal</v>
      </c>
    </row>
    <row r="141" spans="1:40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 t="shared" si="10"/>
        <v>0</v>
      </c>
      <c r="AK141" t="str">
        <f t="shared" si="11"/>
        <v>25-34</v>
      </c>
      <c r="AL141" t="str">
        <f t="shared" si="12"/>
        <v>10+ yrs (Veteran)</v>
      </c>
      <c r="AM141" t="str">
        <f t="shared" si="13"/>
        <v>Mid (3K-7K)</v>
      </c>
      <c r="AN141" t="str">
        <f t="shared" si="14"/>
        <v>Normal</v>
      </c>
    </row>
    <row r="142" spans="1:40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 t="shared" si="10"/>
        <v>1</v>
      </c>
      <c r="AK142" t="str">
        <f t="shared" si="11"/>
        <v>25-34</v>
      </c>
      <c r="AL142" t="str">
        <f t="shared" si="12"/>
        <v>5-9 yrs (Senior)</v>
      </c>
      <c r="AM142" t="str">
        <f t="shared" si="13"/>
        <v>Mid (3K-7K)</v>
      </c>
      <c r="AN142" t="str">
        <f t="shared" si="14"/>
        <v>Normal</v>
      </c>
    </row>
    <row r="143" spans="1:40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 t="shared" si="10"/>
        <v>0</v>
      </c>
      <c r="AK143" t="str">
        <f t="shared" si="11"/>
        <v>45-54</v>
      </c>
      <c r="AL143" t="str">
        <f t="shared" si="12"/>
        <v>5-9 yrs (Senior)</v>
      </c>
      <c r="AM143" t="str">
        <f t="shared" si="13"/>
        <v>Mid (3K-7K)</v>
      </c>
      <c r="AN143" t="str">
        <f t="shared" si="14"/>
        <v>Normal</v>
      </c>
    </row>
    <row r="144" spans="1:40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 t="shared" si="10"/>
        <v>0</v>
      </c>
      <c r="AK144" t="str">
        <f t="shared" si="11"/>
        <v>35-44</v>
      </c>
      <c r="AL144" t="str">
        <f t="shared" si="12"/>
        <v>2-4 yrs (Mid)</v>
      </c>
      <c r="AM144" t="str">
        <f t="shared" si="13"/>
        <v>Mid (3K-7K)</v>
      </c>
      <c r="AN144" t="str">
        <f t="shared" si="14"/>
        <v>Normal</v>
      </c>
    </row>
    <row r="145" spans="1:40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 t="shared" si="10"/>
        <v>0</v>
      </c>
      <c r="AK145" t="str">
        <f t="shared" si="11"/>
        <v>25-34</v>
      </c>
      <c r="AL145" t="str">
        <f t="shared" si="12"/>
        <v>5-9 yrs (Senior)</v>
      </c>
      <c r="AM145" t="str">
        <f t="shared" si="13"/>
        <v>Low (&lt;3K)</v>
      </c>
      <c r="AN145" t="str">
        <f t="shared" si="14"/>
        <v>Normal</v>
      </c>
    </row>
    <row r="146" spans="1:40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 t="shared" si="10"/>
        <v>0</v>
      </c>
      <c r="AK146" t="str">
        <f t="shared" si="11"/>
        <v>25-34</v>
      </c>
      <c r="AL146" t="str">
        <f t="shared" si="12"/>
        <v>5-9 yrs (Senior)</v>
      </c>
      <c r="AM146" t="str">
        <f t="shared" si="13"/>
        <v>Mid (3K-7K)</v>
      </c>
      <c r="AN146" t="str">
        <f t="shared" si="14"/>
        <v>Normal</v>
      </c>
    </row>
    <row r="147" spans="1:40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 t="shared" si="10"/>
        <v>0</v>
      </c>
      <c r="AK147" t="str">
        <f t="shared" si="11"/>
        <v>25-34</v>
      </c>
      <c r="AL147" t="str">
        <f t="shared" si="12"/>
        <v>2-4 yrs (Mid)</v>
      </c>
      <c r="AM147" t="str">
        <f t="shared" si="13"/>
        <v>Mid (3K-7K)</v>
      </c>
      <c r="AN147" t="str">
        <f t="shared" si="14"/>
        <v>Normal</v>
      </c>
    </row>
    <row r="148" spans="1:40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 t="shared" si="10"/>
        <v>0</v>
      </c>
      <c r="AK148" t="str">
        <f t="shared" si="11"/>
        <v>25-34</v>
      </c>
      <c r="AL148" t="str">
        <f t="shared" si="12"/>
        <v>5-9 yrs (Senior)</v>
      </c>
      <c r="AM148" t="str">
        <f t="shared" si="13"/>
        <v>Low (&lt;3K)</v>
      </c>
      <c r="AN148" t="str">
        <f t="shared" si="14"/>
        <v>Normal</v>
      </c>
    </row>
    <row r="149" spans="1:40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 t="shared" si="10"/>
        <v>0</v>
      </c>
      <c r="AK149" t="str">
        <f t="shared" si="11"/>
        <v>35-44</v>
      </c>
      <c r="AL149" t="str">
        <f t="shared" si="12"/>
        <v>5-9 yrs (Senior)</v>
      </c>
      <c r="AM149" t="str">
        <f t="shared" si="13"/>
        <v>Very High (12K+)</v>
      </c>
      <c r="AN149" t="str">
        <f t="shared" si="14"/>
        <v>Normal</v>
      </c>
    </row>
    <row r="150" spans="1:40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 t="shared" si="10"/>
        <v>0</v>
      </c>
      <c r="AK150" t="str">
        <f t="shared" si="11"/>
        <v>35-44</v>
      </c>
      <c r="AL150" t="str">
        <f t="shared" si="12"/>
        <v>5-9 yrs (Senior)</v>
      </c>
      <c r="AM150" t="str">
        <f t="shared" si="13"/>
        <v>Low (&lt;3K)</v>
      </c>
      <c r="AN150" t="str">
        <f t="shared" si="14"/>
        <v>Normal</v>
      </c>
    </row>
    <row r="151" spans="1:40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 t="shared" si="10"/>
        <v>0</v>
      </c>
      <c r="AK151" t="str">
        <f t="shared" si="11"/>
        <v>Under 25</v>
      </c>
      <c r="AL151" t="str">
        <f t="shared" si="12"/>
        <v>0-1 yrs (New)</v>
      </c>
      <c r="AM151" t="str">
        <f t="shared" si="13"/>
        <v>Low (&lt;3K)</v>
      </c>
      <c r="AN151" t="str">
        <f t="shared" si="14"/>
        <v>Normal</v>
      </c>
    </row>
    <row r="152" spans="1:40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 t="shared" si="10"/>
        <v>0</v>
      </c>
      <c r="AK152" t="str">
        <f t="shared" si="11"/>
        <v>35-44</v>
      </c>
      <c r="AL152" t="str">
        <f t="shared" si="12"/>
        <v>10+ yrs (Veteran)</v>
      </c>
      <c r="AM152" t="str">
        <f t="shared" si="13"/>
        <v>Mid (3K-7K)</v>
      </c>
      <c r="AN152" t="str">
        <f t="shared" si="14"/>
        <v>Normal</v>
      </c>
    </row>
    <row r="153" spans="1:40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 t="shared" si="10"/>
        <v>0</v>
      </c>
      <c r="AK153" t="str">
        <f t="shared" si="11"/>
        <v>35-44</v>
      </c>
      <c r="AL153" t="str">
        <f t="shared" si="12"/>
        <v>10+ yrs (Veteran)</v>
      </c>
      <c r="AM153" t="str">
        <f t="shared" si="13"/>
        <v>High (7K-12K)</v>
      </c>
      <c r="AN153" t="str">
        <f t="shared" si="14"/>
        <v>Normal</v>
      </c>
    </row>
    <row r="154" spans="1:40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 t="shared" si="10"/>
        <v>0</v>
      </c>
      <c r="AK154" t="str">
        <f t="shared" si="11"/>
        <v>45-54</v>
      </c>
      <c r="AL154" t="str">
        <f t="shared" si="12"/>
        <v>5-9 yrs (Senior)</v>
      </c>
      <c r="AM154" t="str">
        <f t="shared" si="13"/>
        <v>Low (&lt;3K)</v>
      </c>
      <c r="AN154" t="str">
        <f t="shared" si="14"/>
        <v>Normal</v>
      </c>
    </row>
    <row r="155" spans="1:40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 t="shared" si="10"/>
        <v>0</v>
      </c>
      <c r="AK155" t="str">
        <f t="shared" si="11"/>
        <v>45-54</v>
      </c>
      <c r="AL155" t="str">
        <f t="shared" si="12"/>
        <v>10+ yrs (Veteran)</v>
      </c>
      <c r="AM155" t="str">
        <f t="shared" si="13"/>
        <v>Low (&lt;3K)</v>
      </c>
      <c r="AN155" t="str">
        <f t="shared" si="14"/>
        <v>Normal</v>
      </c>
    </row>
    <row r="156" spans="1:40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 t="shared" si="10"/>
        <v>0</v>
      </c>
      <c r="AK156" t="str">
        <f t="shared" si="11"/>
        <v>25-34</v>
      </c>
      <c r="AL156" t="str">
        <f t="shared" si="12"/>
        <v>5-9 yrs (Senior)</v>
      </c>
      <c r="AM156" t="str">
        <f t="shared" si="13"/>
        <v>High (7K-12K)</v>
      </c>
      <c r="AN156" t="str">
        <f t="shared" si="14"/>
        <v>Normal</v>
      </c>
    </row>
    <row r="157" spans="1:40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 t="shared" si="10"/>
        <v>0</v>
      </c>
      <c r="AK157" t="str">
        <f t="shared" si="11"/>
        <v>25-34</v>
      </c>
      <c r="AL157" t="str">
        <f t="shared" si="12"/>
        <v>10+ yrs (Veteran)</v>
      </c>
      <c r="AM157" t="str">
        <f t="shared" si="13"/>
        <v>Mid (3K-7K)</v>
      </c>
      <c r="AN157" t="str">
        <f t="shared" si="14"/>
        <v>Normal</v>
      </c>
    </row>
    <row r="158" spans="1:40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 t="shared" si="10"/>
        <v>0</v>
      </c>
      <c r="AK158" t="str">
        <f t="shared" si="11"/>
        <v>45-54</v>
      </c>
      <c r="AL158" t="str">
        <f t="shared" si="12"/>
        <v>0-1 yrs (New)</v>
      </c>
      <c r="AM158" t="str">
        <f t="shared" si="13"/>
        <v>Mid (3K-7K)</v>
      </c>
      <c r="AN158" t="str">
        <f t="shared" si="14"/>
        <v>Normal</v>
      </c>
    </row>
    <row r="159" spans="1:40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 t="shared" si="10"/>
        <v>0</v>
      </c>
      <c r="AK159" t="str">
        <f t="shared" si="11"/>
        <v>55+</v>
      </c>
      <c r="AL159" t="str">
        <f t="shared" si="12"/>
        <v>0-1 yrs (New)</v>
      </c>
      <c r="AM159" t="str">
        <f t="shared" si="13"/>
        <v>Mid (3K-7K)</v>
      </c>
      <c r="AN159" t="str">
        <f t="shared" si="14"/>
        <v>High Risk</v>
      </c>
    </row>
    <row r="160" spans="1:40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 t="shared" si="10"/>
        <v>0</v>
      </c>
      <c r="AK160" t="str">
        <f t="shared" si="11"/>
        <v>35-44</v>
      </c>
      <c r="AL160" t="str">
        <f t="shared" si="12"/>
        <v>10+ yrs (Veteran)</v>
      </c>
      <c r="AM160" t="str">
        <f t="shared" si="13"/>
        <v>High (7K-12K)</v>
      </c>
      <c r="AN160" t="str">
        <f t="shared" si="14"/>
        <v>Normal</v>
      </c>
    </row>
    <row r="161" spans="1:40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 t="shared" si="10"/>
        <v>0</v>
      </c>
      <c r="AK161" t="str">
        <f t="shared" si="11"/>
        <v>25-34</v>
      </c>
      <c r="AL161" t="str">
        <f t="shared" si="12"/>
        <v>2-4 yrs (Mid)</v>
      </c>
      <c r="AM161" t="str">
        <f t="shared" si="13"/>
        <v>Low (&lt;3K)</v>
      </c>
      <c r="AN161" t="str">
        <f t="shared" si="14"/>
        <v>Normal</v>
      </c>
    </row>
    <row r="162" spans="1:40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 t="shared" si="10"/>
        <v>0</v>
      </c>
      <c r="AK162" t="str">
        <f t="shared" si="11"/>
        <v>Under 25</v>
      </c>
      <c r="AL162" t="str">
        <f t="shared" si="12"/>
        <v>2-4 yrs (Mid)</v>
      </c>
      <c r="AM162" t="str">
        <f t="shared" si="13"/>
        <v>Low (&lt;3K)</v>
      </c>
      <c r="AN162" t="str">
        <f t="shared" si="14"/>
        <v>Normal</v>
      </c>
    </row>
    <row r="163" spans="1:40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 t="shared" si="10"/>
        <v>0</v>
      </c>
      <c r="AK163" t="str">
        <f t="shared" si="11"/>
        <v>25-34</v>
      </c>
      <c r="AL163" t="str">
        <f t="shared" si="12"/>
        <v>2-4 yrs (Mid)</v>
      </c>
      <c r="AM163" t="str">
        <f t="shared" si="13"/>
        <v>Low (&lt;3K)</v>
      </c>
      <c r="AN163" t="str">
        <f t="shared" si="14"/>
        <v>Normal</v>
      </c>
    </row>
    <row r="164" spans="1:40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 t="shared" si="10"/>
        <v>0</v>
      </c>
      <c r="AK164" t="str">
        <f t="shared" si="11"/>
        <v>25-34</v>
      </c>
      <c r="AL164" t="str">
        <f t="shared" si="12"/>
        <v>5-9 yrs (Senior)</v>
      </c>
      <c r="AM164" t="str">
        <f t="shared" si="13"/>
        <v>Low (&lt;3K)</v>
      </c>
      <c r="AN164" t="str">
        <f t="shared" si="14"/>
        <v>Normal</v>
      </c>
    </row>
    <row r="165" spans="1:40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 t="shared" si="10"/>
        <v>0</v>
      </c>
      <c r="AK165" t="str">
        <f t="shared" si="11"/>
        <v>55+</v>
      </c>
      <c r="AL165" t="str">
        <f t="shared" si="12"/>
        <v>5-9 yrs (Senior)</v>
      </c>
      <c r="AM165" t="str">
        <f t="shared" si="13"/>
        <v>High (7K-12K)</v>
      </c>
      <c r="AN165" t="str">
        <f t="shared" si="14"/>
        <v>Normal</v>
      </c>
    </row>
    <row r="166" spans="1:40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 t="shared" si="10"/>
        <v>0</v>
      </c>
      <c r="AK166" t="str">
        <f t="shared" si="11"/>
        <v>25-34</v>
      </c>
      <c r="AL166" t="str">
        <f t="shared" si="12"/>
        <v>0-1 yrs (New)</v>
      </c>
      <c r="AM166" t="str">
        <f t="shared" si="13"/>
        <v>Low (&lt;3K)</v>
      </c>
      <c r="AN166" t="str">
        <f t="shared" si="14"/>
        <v>Normal</v>
      </c>
    </row>
    <row r="167" spans="1:40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 t="shared" si="10"/>
        <v>0</v>
      </c>
      <c r="AK167" t="str">
        <f t="shared" si="11"/>
        <v>45-54</v>
      </c>
      <c r="AL167" t="str">
        <f t="shared" si="12"/>
        <v>5-9 yrs (Senior)</v>
      </c>
      <c r="AM167" t="str">
        <f t="shared" si="13"/>
        <v>Very High (12K+)</v>
      </c>
      <c r="AN167" t="str">
        <f t="shared" si="14"/>
        <v>Normal</v>
      </c>
    </row>
    <row r="168" spans="1:40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 t="shared" si="10"/>
        <v>0</v>
      </c>
      <c r="AK168" t="str">
        <f t="shared" si="11"/>
        <v>35-44</v>
      </c>
      <c r="AL168" t="str">
        <f t="shared" si="12"/>
        <v>5-9 yrs (Senior)</v>
      </c>
      <c r="AM168" t="str">
        <f t="shared" si="13"/>
        <v>Low (&lt;3K)</v>
      </c>
      <c r="AN168" t="str">
        <f t="shared" si="14"/>
        <v>Normal</v>
      </c>
    </row>
    <row r="169" spans="1:40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 t="shared" si="10"/>
        <v>0</v>
      </c>
      <c r="AK169" t="str">
        <f t="shared" si="11"/>
        <v>25-34</v>
      </c>
      <c r="AL169" t="str">
        <f t="shared" si="12"/>
        <v>10+ yrs (Veteran)</v>
      </c>
      <c r="AM169" t="str">
        <f t="shared" si="13"/>
        <v>High (7K-12K)</v>
      </c>
      <c r="AN169" t="str">
        <f t="shared" si="14"/>
        <v>Normal</v>
      </c>
    </row>
    <row r="170" spans="1:40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 t="shared" si="10"/>
        <v>0</v>
      </c>
      <c r="AK170" t="str">
        <f t="shared" si="11"/>
        <v>35-44</v>
      </c>
      <c r="AL170" t="str">
        <f t="shared" si="12"/>
        <v>5-9 yrs (Senior)</v>
      </c>
      <c r="AM170" t="str">
        <f t="shared" si="13"/>
        <v>High (7K-12K)</v>
      </c>
      <c r="AN170" t="str">
        <f t="shared" si="14"/>
        <v>Normal</v>
      </c>
    </row>
    <row r="171" spans="1:40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 t="shared" si="10"/>
        <v>0</v>
      </c>
      <c r="AK171" t="str">
        <f t="shared" si="11"/>
        <v>25-34</v>
      </c>
      <c r="AL171" t="str">
        <f t="shared" si="12"/>
        <v>5-9 yrs (Senior)</v>
      </c>
      <c r="AM171" t="str">
        <f t="shared" si="13"/>
        <v>Mid (3K-7K)</v>
      </c>
      <c r="AN171" t="str">
        <f t="shared" si="14"/>
        <v>Normal</v>
      </c>
    </row>
    <row r="172" spans="1:40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 t="shared" si="10"/>
        <v>0</v>
      </c>
      <c r="AK172" t="str">
        <f t="shared" si="11"/>
        <v>25-34</v>
      </c>
      <c r="AL172" t="str">
        <f t="shared" si="12"/>
        <v>5-9 yrs (Senior)</v>
      </c>
      <c r="AM172" t="str">
        <f t="shared" si="13"/>
        <v>Mid (3K-7K)</v>
      </c>
      <c r="AN172" t="str">
        <f t="shared" si="14"/>
        <v>High Risk</v>
      </c>
    </row>
    <row r="173" spans="1:40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 t="shared" si="10"/>
        <v>1</v>
      </c>
      <c r="AK173" t="str">
        <f t="shared" si="11"/>
        <v>Under 25</v>
      </c>
      <c r="AL173" t="str">
        <f t="shared" si="12"/>
        <v>0-1 yrs (New)</v>
      </c>
      <c r="AM173" t="str">
        <f t="shared" si="13"/>
        <v>Low (&lt;3K)</v>
      </c>
      <c r="AN173" t="str">
        <f t="shared" si="14"/>
        <v>Normal</v>
      </c>
    </row>
    <row r="174" spans="1:40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 t="shared" si="10"/>
        <v>0</v>
      </c>
      <c r="AK174" t="str">
        <f t="shared" si="11"/>
        <v>35-44</v>
      </c>
      <c r="AL174" t="str">
        <f t="shared" si="12"/>
        <v>5-9 yrs (Senior)</v>
      </c>
      <c r="AM174" t="str">
        <f t="shared" si="13"/>
        <v>Low (&lt;3K)</v>
      </c>
      <c r="AN174" t="str">
        <f t="shared" si="14"/>
        <v>Normal</v>
      </c>
    </row>
    <row r="175" spans="1:40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 t="shared" si="10"/>
        <v>0</v>
      </c>
      <c r="AK175" t="str">
        <f t="shared" si="11"/>
        <v>25-34</v>
      </c>
      <c r="AL175" t="str">
        <f t="shared" si="12"/>
        <v>10+ yrs (Veteran)</v>
      </c>
      <c r="AM175" t="str">
        <f t="shared" si="13"/>
        <v>Mid (3K-7K)</v>
      </c>
      <c r="AN175" t="str">
        <f t="shared" si="14"/>
        <v>Normal</v>
      </c>
    </row>
    <row r="176" spans="1:40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 t="shared" si="10"/>
        <v>0</v>
      </c>
      <c r="AK176" t="str">
        <f t="shared" si="11"/>
        <v>45-54</v>
      </c>
      <c r="AL176" t="str">
        <f t="shared" si="12"/>
        <v>5-9 yrs (Senior)</v>
      </c>
      <c r="AM176" t="str">
        <f t="shared" si="13"/>
        <v>Mid (3K-7K)</v>
      </c>
      <c r="AN176" t="str">
        <f t="shared" si="14"/>
        <v>High Risk</v>
      </c>
    </row>
    <row r="177" spans="1:40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 t="shared" si="10"/>
        <v>0</v>
      </c>
      <c r="AK177" t="str">
        <f t="shared" si="11"/>
        <v>55+</v>
      </c>
      <c r="AL177" t="str">
        <f t="shared" si="12"/>
        <v>2-4 yrs (Mid)</v>
      </c>
      <c r="AM177" t="str">
        <f t="shared" si="13"/>
        <v>Mid (3K-7K)</v>
      </c>
      <c r="AN177" t="str">
        <f t="shared" si="14"/>
        <v>High Risk</v>
      </c>
    </row>
    <row r="178" spans="1:40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 t="shared" si="10"/>
        <v>0</v>
      </c>
      <c r="AK178" t="str">
        <f t="shared" si="11"/>
        <v>25-34</v>
      </c>
      <c r="AL178" t="str">
        <f t="shared" si="12"/>
        <v>2-4 yrs (Mid)</v>
      </c>
      <c r="AM178" t="str">
        <f t="shared" si="13"/>
        <v>Low (&lt;3K)</v>
      </c>
      <c r="AN178" t="str">
        <f t="shared" si="14"/>
        <v>Normal</v>
      </c>
    </row>
    <row r="179" spans="1:40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 t="shared" si="10"/>
        <v>1</v>
      </c>
      <c r="AK179" t="str">
        <f t="shared" si="11"/>
        <v>Under 25</v>
      </c>
      <c r="AL179" t="str">
        <f t="shared" si="12"/>
        <v>0-1 yrs (New)</v>
      </c>
      <c r="AM179" t="str">
        <f t="shared" si="13"/>
        <v>Low (&lt;3K)</v>
      </c>
      <c r="AN179" t="str">
        <f t="shared" si="14"/>
        <v>Normal</v>
      </c>
    </row>
    <row r="180" spans="1:40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 t="shared" si="10"/>
        <v>0</v>
      </c>
      <c r="AK180" t="str">
        <f t="shared" si="11"/>
        <v>45-54</v>
      </c>
      <c r="AL180" t="str">
        <f t="shared" si="12"/>
        <v>10+ yrs (Veteran)</v>
      </c>
      <c r="AM180" t="str">
        <f t="shared" si="13"/>
        <v>High (7K-12K)</v>
      </c>
      <c r="AN180" t="str">
        <f t="shared" si="14"/>
        <v>Normal</v>
      </c>
    </row>
    <row r="181" spans="1:40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 t="shared" si="10"/>
        <v>0</v>
      </c>
      <c r="AK181" t="str">
        <f t="shared" si="11"/>
        <v>35-44</v>
      </c>
      <c r="AL181" t="str">
        <f t="shared" si="12"/>
        <v>2-4 yrs (Mid)</v>
      </c>
      <c r="AM181" t="str">
        <f t="shared" si="13"/>
        <v>Low (&lt;3K)</v>
      </c>
      <c r="AN181" t="str">
        <f t="shared" si="14"/>
        <v>Normal</v>
      </c>
    </row>
    <row r="182" spans="1:40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 t="shared" si="10"/>
        <v>0</v>
      </c>
      <c r="AK182" t="str">
        <f t="shared" si="11"/>
        <v>25-34</v>
      </c>
      <c r="AL182" t="str">
        <f t="shared" si="12"/>
        <v>2-4 yrs (Mid)</v>
      </c>
      <c r="AM182" t="str">
        <f t="shared" si="13"/>
        <v>Mid (3K-7K)</v>
      </c>
      <c r="AN182" t="str">
        <f t="shared" si="14"/>
        <v>Normal</v>
      </c>
    </row>
    <row r="183" spans="1:40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 t="shared" si="10"/>
        <v>0</v>
      </c>
      <c r="AK183" t="str">
        <f t="shared" si="11"/>
        <v>25-34</v>
      </c>
      <c r="AL183" t="str">
        <f t="shared" si="12"/>
        <v>2-4 yrs (Mid)</v>
      </c>
      <c r="AM183" t="str">
        <f t="shared" si="13"/>
        <v>Low (&lt;3K)</v>
      </c>
      <c r="AN183" t="str">
        <f t="shared" si="14"/>
        <v>Normal</v>
      </c>
    </row>
    <row r="184" spans="1:40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 t="shared" si="10"/>
        <v>1</v>
      </c>
      <c r="AK184" t="str">
        <f t="shared" si="11"/>
        <v>35-44</v>
      </c>
      <c r="AL184" t="str">
        <f t="shared" si="12"/>
        <v>2-4 yrs (Mid)</v>
      </c>
      <c r="AM184" t="str">
        <f t="shared" si="13"/>
        <v>Mid (3K-7K)</v>
      </c>
      <c r="AN184" t="str">
        <f t="shared" si="14"/>
        <v>High Risk</v>
      </c>
    </row>
    <row r="185" spans="1:40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 t="shared" si="10"/>
        <v>0</v>
      </c>
      <c r="AK185" t="str">
        <f t="shared" si="11"/>
        <v>45-54</v>
      </c>
      <c r="AL185" t="str">
        <f t="shared" si="12"/>
        <v>2-4 yrs (Mid)</v>
      </c>
      <c r="AM185" t="str">
        <f t="shared" si="13"/>
        <v>Mid (3K-7K)</v>
      </c>
      <c r="AN185" t="str">
        <f t="shared" si="14"/>
        <v>Normal</v>
      </c>
    </row>
    <row r="186" spans="1:40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 t="shared" si="10"/>
        <v>0</v>
      </c>
      <c r="AK186" t="str">
        <f t="shared" si="11"/>
        <v>45-54</v>
      </c>
      <c r="AL186" t="str">
        <f t="shared" si="12"/>
        <v>2-4 yrs (Mid)</v>
      </c>
      <c r="AM186" t="str">
        <f t="shared" si="13"/>
        <v>Mid (3K-7K)</v>
      </c>
      <c r="AN186" t="str">
        <f t="shared" si="14"/>
        <v>Normal</v>
      </c>
    </row>
    <row r="187" spans="1:40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 t="shared" si="10"/>
        <v>0</v>
      </c>
      <c r="AK187" t="str">
        <f t="shared" si="11"/>
        <v>25-34</v>
      </c>
      <c r="AL187" t="str">
        <f t="shared" si="12"/>
        <v>5-9 yrs (Senior)</v>
      </c>
      <c r="AM187" t="str">
        <f t="shared" si="13"/>
        <v>Low (&lt;3K)</v>
      </c>
      <c r="AN187" t="str">
        <f t="shared" si="14"/>
        <v>Normal</v>
      </c>
    </row>
    <row r="188" spans="1:40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 t="shared" si="10"/>
        <v>0</v>
      </c>
      <c r="AK188" t="str">
        <f t="shared" si="11"/>
        <v>35-44</v>
      </c>
      <c r="AL188" t="str">
        <f t="shared" si="12"/>
        <v>10+ yrs (Veteran)</v>
      </c>
      <c r="AM188" t="str">
        <f t="shared" si="13"/>
        <v>Very High (12K+)</v>
      </c>
      <c r="AN188" t="str">
        <f t="shared" si="14"/>
        <v>Normal</v>
      </c>
    </row>
    <row r="189" spans="1:40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 t="shared" si="10"/>
        <v>0</v>
      </c>
      <c r="AK189" t="str">
        <f t="shared" si="11"/>
        <v>55+</v>
      </c>
      <c r="AL189" t="str">
        <f t="shared" si="12"/>
        <v>10+ yrs (Veteran)</v>
      </c>
      <c r="AM189" t="str">
        <f t="shared" si="13"/>
        <v>Very High (12K+)</v>
      </c>
      <c r="AN189" t="str">
        <f t="shared" si="14"/>
        <v>Normal</v>
      </c>
    </row>
    <row r="190" spans="1:40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 t="shared" si="10"/>
        <v>0</v>
      </c>
      <c r="AK190" t="str">
        <f t="shared" si="11"/>
        <v>25-34</v>
      </c>
      <c r="AL190" t="str">
        <f t="shared" si="12"/>
        <v>10+ yrs (Veteran)</v>
      </c>
      <c r="AM190" t="str">
        <f t="shared" si="13"/>
        <v>High (7K-12K)</v>
      </c>
      <c r="AN190" t="str">
        <f t="shared" si="14"/>
        <v>Normal</v>
      </c>
    </row>
    <row r="191" spans="1:40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 t="shared" si="10"/>
        <v>0</v>
      </c>
      <c r="AK191" t="str">
        <f t="shared" si="11"/>
        <v>45-54</v>
      </c>
      <c r="AL191" t="str">
        <f t="shared" si="12"/>
        <v>5-9 yrs (Senior)</v>
      </c>
      <c r="AM191" t="str">
        <f t="shared" si="13"/>
        <v>Very High (12K+)</v>
      </c>
      <c r="AN191" t="str">
        <f t="shared" si="14"/>
        <v>Normal</v>
      </c>
    </row>
    <row r="192" spans="1:40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 t="shared" si="10"/>
        <v>0</v>
      </c>
      <c r="AK192" t="str">
        <f t="shared" si="11"/>
        <v>45-54</v>
      </c>
      <c r="AL192" t="str">
        <f t="shared" si="12"/>
        <v>10+ yrs (Veteran)</v>
      </c>
      <c r="AM192" t="str">
        <f t="shared" si="13"/>
        <v>Very High (12K+)</v>
      </c>
      <c r="AN192" t="str">
        <f t="shared" si="14"/>
        <v>Normal</v>
      </c>
    </row>
    <row r="193" spans="1:40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 t="shared" si="10"/>
        <v>0</v>
      </c>
      <c r="AK193" t="str">
        <f t="shared" si="11"/>
        <v>25-34</v>
      </c>
      <c r="AL193" t="str">
        <f t="shared" si="12"/>
        <v>5-9 yrs (Senior)</v>
      </c>
      <c r="AM193" t="str">
        <f t="shared" si="13"/>
        <v>Low (&lt;3K)</v>
      </c>
      <c r="AN193" t="str">
        <f t="shared" si="14"/>
        <v>Normal</v>
      </c>
    </row>
    <row r="194" spans="1:40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 t="shared" si="10"/>
        <v>1</v>
      </c>
      <c r="AK194" t="str">
        <f t="shared" si="11"/>
        <v>35-44</v>
      </c>
      <c r="AL194" t="str">
        <f t="shared" si="12"/>
        <v>0-1 yrs (New)</v>
      </c>
      <c r="AM194" t="str">
        <f t="shared" si="13"/>
        <v>Mid (3K-7K)</v>
      </c>
      <c r="AN194" t="str">
        <f t="shared" si="14"/>
        <v>Normal</v>
      </c>
    </row>
    <row r="195" spans="1:40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 t="shared" ref="AJ195:AJ258" si="15">IF(B195="Yes", 1, 0)</f>
        <v>0</v>
      </c>
      <c r="AK195" t="str">
        <f t="shared" ref="AK195:AK258" si="16">IF(A195&lt;25, "Under 25", IF(A195&lt;35, "25-34", IF(A195&lt;45, "35-44", IF(A195&lt;55, "45-54", "55+"))))</f>
        <v>35-44</v>
      </c>
      <c r="AL195" t="str">
        <f t="shared" ref="AL195:AL258" si="17">IF(AF195&lt;2, "0-1 yrs (New)", IF(AF195&lt;5, "2-4 yrs (Mid)", IF(AF195&lt;10, "5-9 yrs (Senior)", "10+ yrs (Veteran)")))</f>
        <v>5-9 yrs (Senior)</v>
      </c>
      <c r="AM195" t="str">
        <f t="shared" ref="AM195:AM258" si="18">IF(S195&lt;3000, "Low (&lt;3K)", IF(S195&lt;7000, "Mid (3K-7K)", IF(S195&lt;12000, "High (7K-12K)", "Very High (12K+)")))</f>
        <v>Low (&lt;3K)</v>
      </c>
      <c r="AN195" t="str">
        <f t="shared" ref="AN195:AN258" si="19">IF(AND(W195="Yes", Q195&lt;=2), "High Risk", "Normal")</f>
        <v>Normal</v>
      </c>
    </row>
    <row r="196" spans="1:40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 t="shared" si="15"/>
        <v>0</v>
      </c>
      <c r="AK196" t="str">
        <f t="shared" si="16"/>
        <v>45-54</v>
      </c>
      <c r="AL196" t="str">
        <f t="shared" si="17"/>
        <v>10+ yrs (Veteran)</v>
      </c>
      <c r="AM196" t="str">
        <f t="shared" si="18"/>
        <v>Very High (12K+)</v>
      </c>
      <c r="AN196" t="str">
        <f t="shared" si="19"/>
        <v>Normal</v>
      </c>
    </row>
    <row r="197" spans="1:40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 t="shared" si="15"/>
        <v>0</v>
      </c>
      <c r="AK197" t="str">
        <f t="shared" si="16"/>
        <v>35-44</v>
      </c>
      <c r="AL197" t="str">
        <f t="shared" si="17"/>
        <v>5-9 yrs (Senior)</v>
      </c>
      <c r="AM197" t="str">
        <f t="shared" si="18"/>
        <v>Mid (3K-7K)</v>
      </c>
      <c r="AN197" t="str">
        <f t="shared" si="19"/>
        <v>High Risk</v>
      </c>
    </row>
    <row r="198" spans="1:40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 t="shared" si="15"/>
        <v>0</v>
      </c>
      <c r="AK198" t="str">
        <f t="shared" si="16"/>
        <v>35-44</v>
      </c>
      <c r="AL198" t="str">
        <f t="shared" si="17"/>
        <v>5-9 yrs (Senior)</v>
      </c>
      <c r="AM198" t="str">
        <f t="shared" si="18"/>
        <v>Mid (3K-7K)</v>
      </c>
      <c r="AN198" t="str">
        <f t="shared" si="19"/>
        <v>Normal</v>
      </c>
    </row>
    <row r="199" spans="1:40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 t="shared" si="15"/>
        <v>0</v>
      </c>
      <c r="AK199" t="str">
        <f t="shared" si="16"/>
        <v>35-44</v>
      </c>
      <c r="AL199" t="str">
        <f t="shared" si="17"/>
        <v>5-9 yrs (Senior)</v>
      </c>
      <c r="AM199" t="str">
        <f t="shared" si="18"/>
        <v>Mid (3K-7K)</v>
      </c>
      <c r="AN199" t="str">
        <f t="shared" si="19"/>
        <v>Normal</v>
      </c>
    </row>
    <row r="200" spans="1:40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 t="shared" si="15"/>
        <v>0</v>
      </c>
      <c r="AK200" t="str">
        <f t="shared" si="16"/>
        <v>35-44</v>
      </c>
      <c r="AL200" t="str">
        <f t="shared" si="17"/>
        <v>0-1 yrs (New)</v>
      </c>
      <c r="AM200" t="str">
        <f t="shared" si="18"/>
        <v>Mid (3K-7K)</v>
      </c>
      <c r="AN200" t="str">
        <f t="shared" si="19"/>
        <v>Normal</v>
      </c>
    </row>
    <row r="201" spans="1:40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 t="shared" si="15"/>
        <v>0</v>
      </c>
      <c r="AK201" t="str">
        <f t="shared" si="16"/>
        <v>35-44</v>
      </c>
      <c r="AL201" t="str">
        <f t="shared" si="17"/>
        <v>5-9 yrs (Senior)</v>
      </c>
      <c r="AM201" t="str">
        <f t="shared" si="18"/>
        <v>Mid (3K-7K)</v>
      </c>
      <c r="AN201" t="str">
        <f t="shared" si="19"/>
        <v>Normal</v>
      </c>
    </row>
    <row r="202" spans="1:40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 t="shared" si="15"/>
        <v>0</v>
      </c>
      <c r="AK202" t="str">
        <f t="shared" si="16"/>
        <v>25-34</v>
      </c>
      <c r="AL202" t="str">
        <f t="shared" si="17"/>
        <v>2-4 yrs (Mid)</v>
      </c>
      <c r="AM202" t="str">
        <f t="shared" si="18"/>
        <v>Mid (3K-7K)</v>
      </c>
      <c r="AN202" t="str">
        <f t="shared" si="19"/>
        <v>Normal</v>
      </c>
    </row>
    <row r="203" spans="1:40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 t="shared" si="15"/>
        <v>0</v>
      </c>
      <c r="AK203" t="str">
        <f t="shared" si="16"/>
        <v>45-54</v>
      </c>
      <c r="AL203" t="str">
        <f t="shared" si="17"/>
        <v>5-9 yrs (Senior)</v>
      </c>
      <c r="AM203" t="str">
        <f t="shared" si="18"/>
        <v>Mid (3K-7K)</v>
      </c>
      <c r="AN203" t="str">
        <f t="shared" si="19"/>
        <v>Normal</v>
      </c>
    </row>
    <row r="204" spans="1:40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 t="shared" si="15"/>
        <v>0</v>
      </c>
      <c r="AK204" t="str">
        <f t="shared" si="16"/>
        <v>25-34</v>
      </c>
      <c r="AL204" t="str">
        <f t="shared" si="17"/>
        <v>5-9 yrs (Senior)</v>
      </c>
      <c r="AM204" t="str">
        <f t="shared" si="18"/>
        <v>Mid (3K-7K)</v>
      </c>
      <c r="AN204" t="str">
        <f t="shared" si="19"/>
        <v>Normal</v>
      </c>
    </row>
    <row r="205" spans="1:40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 t="shared" si="15"/>
        <v>0</v>
      </c>
      <c r="AK205" t="str">
        <f t="shared" si="16"/>
        <v>35-44</v>
      </c>
      <c r="AL205" t="str">
        <f t="shared" si="17"/>
        <v>5-9 yrs (Senior)</v>
      </c>
      <c r="AM205" t="str">
        <f t="shared" si="18"/>
        <v>Low (&lt;3K)</v>
      </c>
      <c r="AN205" t="str">
        <f t="shared" si="19"/>
        <v>Normal</v>
      </c>
    </row>
    <row r="206" spans="1:40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 t="shared" si="15"/>
        <v>1</v>
      </c>
      <c r="AK206" t="str">
        <f t="shared" si="16"/>
        <v>35-44</v>
      </c>
      <c r="AL206" t="str">
        <f t="shared" si="17"/>
        <v>0-1 yrs (New)</v>
      </c>
      <c r="AM206" t="str">
        <f t="shared" si="18"/>
        <v>Mid (3K-7K)</v>
      </c>
      <c r="AN206" t="str">
        <f t="shared" si="19"/>
        <v>High Risk</v>
      </c>
    </row>
    <row r="207" spans="1:40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 t="shared" si="15"/>
        <v>1</v>
      </c>
      <c r="AK207" t="str">
        <f t="shared" si="16"/>
        <v>25-34</v>
      </c>
      <c r="AL207" t="str">
        <f t="shared" si="17"/>
        <v>10+ yrs (Veteran)</v>
      </c>
      <c r="AM207" t="str">
        <f t="shared" si="18"/>
        <v>High (7K-12K)</v>
      </c>
      <c r="AN207" t="str">
        <f t="shared" si="19"/>
        <v>Normal</v>
      </c>
    </row>
    <row r="208" spans="1:40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 t="shared" si="15"/>
        <v>0</v>
      </c>
      <c r="AK208" t="str">
        <f t="shared" si="16"/>
        <v>Under 25</v>
      </c>
      <c r="AL208" t="str">
        <f t="shared" si="17"/>
        <v>2-4 yrs (Mid)</v>
      </c>
      <c r="AM208" t="str">
        <f t="shared" si="18"/>
        <v>Low (&lt;3K)</v>
      </c>
      <c r="AN208" t="str">
        <f t="shared" si="19"/>
        <v>High Risk</v>
      </c>
    </row>
    <row r="209" spans="1:40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 t="shared" si="15"/>
        <v>0</v>
      </c>
      <c r="AK209" t="str">
        <f t="shared" si="16"/>
        <v>35-44</v>
      </c>
      <c r="AL209" t="str">
        <f t="shared" si="17"/>
        <v>5-9 yrs (Senior)</v>
      </c>
      <c r="AM209" t="str">
        <f t="shared" si="18"/>
        <v>Low (&lt;3K)</v>
      </c>
      <c r="AN209" t="str">
        <f t="shared" si="19"/>
        <v>Normal</v>
      </c>
    </row>
    <row r="210" spans="1:40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 t="shared" si="15"/>
        <v>0</v>
      </c>
      <c r="AK210" t="str">
        <f t="shared" si="16"/>
        <v>35-44</v>
      </c>
      <c r="AL210" t="str">
        <f t="shared" si="17"/>
        <v>2-4 yrs (Mid)</v>
      </c>
      <c r="AM210" t="str">
        <f t="shared" si="18"/>
        <v>Mid (3K-7K)</v>
      </c>
      <c r="AN210" t="str">
        <f t="shared" si="19"/>
        <v>Normal</v>
      </c>
    </row>
    <row r="211" spans="1:40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 t="shared" si="15"/>
        <v>0</v>
      </c>
      <c r="AK211" t="str">
        <f t="shared" si="16"/>
        <v>45-54</v>
      </c>
      <c r="AL211" t="str">
        <f t="shared" si="17"/>
        <v>2-4 yrs (Mid)</v>
      </c>
      <c r="AM211" t="str">
        <f t="shared" si="18"/>
        <v>High (7K-12K)</v>
      </c>
      <c r="AN211" t="str">
        <f t="shared" si="19"/>
        <v>Normal</v>
      </c>
    </row>
    <row r="212" spans="1:40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 t="shared" si="15"/>
        <v>1</v>
      </c>
      <c r="AK212" t="str">
        <f t="shared" si="16"/>
        <v>25-34</v>
      </c>
      <c r="AL212" t="str">
        <f t="shared" si="17"/>
        <v>10+ yrs (Veteran)</v>
      </c>
      <c r="AM212" t="str">
        <f t="shared" si="18"/>
        <v>High (7K-12K)</v>
      </c>
      <c r="AN212" t="str">
        <f t="shared" si="19"/>
        <v>Normal</v>
      </c>
    </row>
    <row r="213" spans="1:40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 t="shared" si="15"/>
        <v>0</v>
      </c>
      <c r="AK213" t="str">
        <f t="shared" si="16"/>
        <v>25-34</v>
      </c>
      <c r="AL213" t="str">
        <f t="shared" si="17"/>
        <v>10+ yrs (Veteran)</v>
      </c>
      <c r="AM213" t="str">
        <f t="shared" si="18"/>
        <v>High (7K-12K)</v>
      </c>
      <c r="AN213" t="str">
        <f t="shared" si="19"/>
        <v>Normal</v>
      </c>
    </row>
    <row r="214" spans="1:40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 t="shared" si="15"/>
        <v>0</v>
      </c>
      <c r="AK214" t="str">
        <f t="shared" si="16"/>
        <v>25-34</v>
      </c>
      <c r="AL214" t="str">
        <f t="shared" si="17"/>
        <v>5-9 yrs (Senior)</v>
      </c>
      <c r="AM214" t="str">
        <f t="shared" si="18"/>
        <v>High (7K-12K)</v>
      </c>
      <c r="AN214" t="str">
        <f t="shared" si="19"/>
        <v>Normal</v>
      </c>
    </row>
    <row r="215" spans="1:40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 t="shared" si="15"/>
        <v>0</v>
      </c>
      <c r="AK215" t="str">
        <f t="shared" si="16"/>
        <v>45-54</v>
      </c>
      <c r="AL215" t="str">
        <f t="shared" si="17"/>
        <v>10+ yrs (Veteran)</v>
      </c>
      <c r="AM215" t="str">
        <f t="shared" si="18"/>
        <v>Very High (12K+)</v>
      </c>
      <c r="AN215" t="str">
        <f t="shared" si="19"/>
        <v>Normal</v>
      </c>
    </row>
    <row r="216" spans="1:40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 t="shared" si="15"/>
        <v>1</v>
      </c>
      <c r="AK216" t="str">
        <f t="shared" si="16"/>
        <v>25-34</v>
      </c>
      <c r="AL216" t="str">
        <f t="shared" si="17"/>
        <v>5-9 yrs (Senior)</v>
      </c>
      <c r="AM216" t="str">
        <f t="shared" si="18"/>
        <v>Low (&lt;3K)</v>
      </c>
      <c r="AN216" t="str">
        <f t="shared" si="19"/>
        <v>High Risk</v>
      </c>
    </row>
    <row r="217" spans="1:40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 t="shared" si="15"/>
        <v>0</v>
      </c>
      <c r="AK217" t="str">
        <f t="shared" si="16"/>
        <v>35-44</v>
      </c>
      <c r="AL217" t="str">
        <f t="shared" si="17"/>
        <v>0-1 yrs (New)</v>
      </c>
      <c r="AM217" t="str">
        <f t="shared" si="18"/>
        <v>Very High (12K+)</v>
      </c>
      <c r="AN217" t="str">
        <f t="shared" si="19"/>
        <v>Normal</v>
      </c>
    </row>
    <row r="218" spans="1:40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 t="shared" si="15"/>
        <v>1</v>
      </c>
      <c r="AK218" t="str">
        <f t="shared" si="16"/>
        <v>25-34</v>
      </c>
      <c r="AL218" t="str">
        <f t="shared" si="17"/>
        <v>5-9 yrs (Senior)</v>
      </c>
      <c r="AM218" t="str">
        <f t="shared" si="18"/>
        <v>Mid (3K-7K)</v>
      </c>
      <c r="AN218" t="str">
        <f t="shared" si="19"/>
        <v>Normal</v>
      </c>
    </row>
    <row r="219" spans="1:40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 t="shared" si="15"/>
        <v>1</v>
      </c>
      <c r="AK219" t="str">
        <f t="shared" si="16"/>
        <v>25-34</v>
      </c>
      <c r="AL219" t="str">
        <f t="shared" si="17"/>
        <v>5-9 yrs (Senior)</v>
      </c>
      <c r="AM219" t="str">
        <f t="shared" si="18"/>
        <v>Low (&lt;3K)</v>
      </c>
      <c r="AN219" t="str">
        <f t="shared" si="19"/>
        <v>Normal</v>
      </c>
    </row>
    <row r="220" spans="1:40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 t="shared" si="15"/>
        <v>0</v>
      </c>
      <c r="AK220" t="str">
        <f t="shared" si="16"/>
        <v>45-54</v>
      </c>
      <c r="AL220" t="str">
        <f t="shared" si="17"/>
        <v>10+ yrs (Veteran)</v>
      </c>
      <c r="AM220" t="str">
        <f t="shared" si="18"/>
        <v>High (7K-12K)</v>
      </c>
      <c r="AN220" t="str">
        <f t="shared" si="19"/>
        <v>Normal</v>
      </c>
    </row>
    <row r="221" spans="1:40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 t="shared" si="15"/>
        <v>0</v>
      </c>
      <c r="AK221" t="str">
        <f t="shared" si="16"/>
        <v>45-54</v>
      </c>
      <c r="AL221" t="str">
        <f t="shared" si="17"/>
        <v>5-9 yrs (Senior)</v>
      </c>
      <c r="AM221" t="str">
        <f t="shared" si="18"/>
        <v>Mid (3K-7K)</v>
      </c>
      <c r="AN221" t="str">
        <f t="shared" si="19"/>
        <v>Normal</v>
      </c>
    </row>
    <row r="222" spans="1:40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 t="shared" si="15"/>
        <v>0</v>
      </c>
      <c r="AK222" t="str">
        <f t="shared" si="16"/>
        <v>35-44</v>
      </c>
      <c r="AL222" t="str">
        <f t="shared" si="17"/>
        <v>10+ yrs (Veteran)</v>
      </c>
      <c r="AM222" t="str">
        <f t="shared" si="18"/>
        <v>Mid (3K-7K)</v>
      </c>
      <c r="AN222" t="str">
        <f t="shared" si="19"/>
        <v>Normal</v>
      </c>
    </row>
    <row r="223" spans="1:40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 t="shared" si="15"/>
        <v>0</v>
      </c>
      <c r="AK223" t="str">
        <f t="shared" si="16"/>
        <v>25-34</v>
      </c>
      <c r="AL223" t="str">
        <f t="shared" si="17"/>
        <v>2-4 yrs (Mid)</v>
      </c>
      <c r="AM223" t="str">
        <f t="shared" si="18"/>
        <v>Low (&lt;3K)</v>
      </c>
      <c r="AN223" t="str">
        <f t="shared" si="19"/>
        <v>Normal</v>
      </c>
    </row>
    <row r="224" spans="1:40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 t="shared" si="15"/>
        <v>0</v>
      </c>
      <c r="AK224" t="str">
        <f t="shared" si="16"/>
        <v>35-44</v>
      </c>
      <c r="AL224" t="str">
        <f t="shared" si="17"/>
        <v>10+ yrs (Veteran)</v>
      </c>
      <c r="AM224" t="str">
        <f t="shared" si="18"/>
        <v>Very High (12K+)</v>
      </c>
      <c r="AN224" t="str">
        <f t="shared" si="19"/>
        <v>Normal</v>
      </c>
    </row>
    <row r="225" spans="1:40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 t="shared" si="15"/>
        <v>0</v>
      </c>
      <c r="AK225" t="str">
        <f t="shared" si="16"/>
        <v>35-44</v>
      </c>
      <c r="AL225" t="str">
        <f t="shared" si="17"/>
        <v>10+ yrs (Veteran)</v>
      </c>
      <c r="AM225" t="str">
        <f t="shared" si="18"/>
        <v>High (7K-12K)</v>
      </c>
      <c r="AN225" t="str">
        <f t="shared" si="19"/>
        <v>Normal</v>
      </c>
    </row>
    <row r="226" spans="1:40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 t="shared" si="15"/>
        <v>0</v>
      </c>
      <c r="AK226" t="str">
        <f t="shared" si="16"/>
        <v>25-34</v>
      </c>
      <c r="AL226" t="str">
        <f t="shared" si="17"/>
        <v>5-9 yrs (Senior)</v>
      </c>
      <c r="AM226" t="str">
        <f t="shared" si="18"/>
        <v>Mid (3K-7K)</v>
      </c>
      <c r="AN226" t="str">
        <f t="shared" si="19"/>
        <v>Normal</v>
      </c>
    </row>
    <row r="227" spans="1:40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 t="shared" si="15"/>
        <v>0</v>
      </c>
      <c r="AK227" t="str">
        <f t="shared" si="16"/>
        <v>55+</v>
      </c>
      <c r="AL227" t="str">
        <f t="shared" si="17"/>
        <v>0-1 yrs (New)</v>
      </c>
      <c r="AM227" t="str">
        <f t="shared" si="18"/>
        <v>Low (&lt;3K)</v>
      </c>
      <c r="AN227" t="str">
        <f t="shared" si="19"/>
        <v>Normal</v>
      </c>
    </row>
    <row r="228" spans="1:40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 t="shared" si="15"/>
        <v>0</v>
      </c>
      <c r="AK228" t="str">
        <f t="shared" si="16"/>
        <v>35-44</v>
      </c>
      <c r="AL228" t="str">
        <f t="shared" si="17"/>
        <v>5-9 yrs (Senior)</v>
      </c>
      <c r="AM228" t="str">
        <f t="shared" si="18"/>
        <v>Low (&lt;3K)</v>
      </c>
      <c r="AN228" t="str">
        <f t="shared" si="19"/>
        <v>Normal</v>
      </c>
    </row>
    <row r="229" spans="1:40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 t="shared" si="15"/>
        <v>0</v>
      </c>
      <c r="AK229" t="str">
        <f t="shared" si="16"/>
        <v>25-34</v>
      </c>
      <c r="AL229" t="str">
        <f t="shared" si="17"/>
        <v>10+ yrs (Veteran)</v>
      </c>
      <c r="AM229" t="str">
        <f t="shared" si="18"/>
        <v>High (7K-12K)</v>
      </c>
      <c r="AN229" t="str">
        <f t="shared" si="19"/>
        <v>Normal</v>
      </c>
    </row>
    <row r="230" spans="1:40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 t="shared" si="15"/>
        <v>0</v>
      </c>
      <c r="AK230" t="str">
        <f t="shared" si="16"/>
        <v>35-44</v>
      </c>
      <c r="AL230" t="str">
        <f t="shared" si="17"/>
        <v>10+ yrs (Veteran)</v>
      </c>
      <c r="AM230" t="str">
        <f t="shared" si="18"/>
        <v>High (7K-12K)</v>
      </c>
      <c r="AN230" t="str">
        <f t="shared" si="19"/>
        <v>Normal</v>
      </c>
    </row>
    <row r="231" spans="1:40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 t="shared" si="15"/>
        <v>1</v>
      </c>
      <c r="AK231" t="str">
        <f t="shared" si="16"/>
        <v>25-34</v>
      </c>
      <c r="AL231" t="str">
        <f t="shared" si="17"/>
        <v>2-4 yrs (Mid)</v>
      </c>
      <c r="AM231" t="str">
        <f t="shared" si="18"/>
        <v>Low (&lt;3K)</v>
      </c>
      <c r="AN231" t="str">
        <f t="shared" si="19"/>
        <v>Normal</v>
      </c>
    </row>
    <row r="232" spans="1:40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 t="shared" si="15"/>
        <v>0</v>
      </c>
      <c r="AK232" t="str">
        <f t="shared" si="16"/>
        <v>45-54</v>
      </c>
      <c r="AL232" t="str">
        <f t="shared" si="17"/>
        <v>2-4 yrs (Mid)</v>
      </c>
      <c r="AM232" t="str">
        <f t="shared" si="18"/>
        <v>Mid (3K-7K)</v>
      </c>
      <c r="AN232" t="str">
        <f t="shared" si="19"/>
        <v>Normal</v>
      </c>
    </row>
    <row r="233" spans="1:40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 t="shared" si="15"/>
        <v>0</v>
      </c>
      <c r="AK233" t="str">
        <f t="shared" si="16"/>
        <v>35-44</v>
      </c>
      <c r="AL233" t="str">
        <f t="shared" si="17"/>
        <v>10+ yrs (Veteran)</v>
      </c>
      <c r="AM233" t="str">
        <f t="shared" si="18"/>
        <v>Very High (12K+)</v>
      </c>
      <c r="AN233" t="str">
        <f t="shared" si="19"/>
        <v>Normal</v>
      </c>
    </row>
    <row r="234" spans="1:40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 t="shared" si="15"/>
        <v>0</v>
      </c>
      <c r="AK234" t="str">
        <f t="shared" si="16"/>
        <v>55+</v>
      </c>
      <c r="AL234" t="str">
        <f t="shared" si="17"/>
        <v>2-4 yrs (Mid)</v>
      </c>
      <c r="AM234" t="str">
        <f t="shared" si="18"/>
        <v>Low (&lt;3K)</v>
      </c>
      <c r="AN234" t="str">
        <f t="shared" si="19"/>
        <v>Normal</v>
      </c>
    </row>
    <row r="235" spans="1:40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 t="shared" si="15"/>
        <v>0</v>
      </c>
      <c r="AK235" t="str">
        <f t="shared" si="16"/>
        <v>45-54</v>
      </c>
      <c r="AL235" t="str">
        <f t="shared" si="17"/>
        <v>5-9 yrs (Senior)</v>
      </c>
      <c r="AM235" t="str">
        <f t="shared" si="18"/>
        <v>Very High (12K+)</v>
      </c>
      <c r="AN235" t="str">
        <f t="shared" si="19"/>
        <v>Normal</v>
      </c>
    </row>
    <row r="236" spans="1:40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 t="shared" si="15"/>
        <v>1</v>
      </c>
      <c r="AK236" t="str">
        <f t="shared" si="16"/>
        <v>25-34</v>
      </c>
      <c r="AL236" t="str">
        <f t="shared" si="17"/>
        <v>5-9 yrs (Senior)</v>
      </c>
      <c r="AM236" t="str">
        <f t="shared" si="18"/>
        <v>Low (&lt;3K)</v>
      </c>
      <c r="AN236" t="str">
        <f t="shared" si="19"/>
        <v>Normal</v>
      </c>
    </row>
    <row r="237" spans="1:40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 t="shared" si="15"/>
        <v>0</v>
      </c>
      <c r="AK237" t="str">
        <f t="shared" si="16"/>
        <v>35-44</v>
      </c>
      <c r="AL237" t="str">
        <f t="shared" si="17"/>
        <v>10+ yrs (Veteran)</v>
      </c>
      <c r="AM237" t="str">
        <f t="shared" si="18"/>
        <v>Very High (12K+)</v>
      </c>
      <c r="AN237" t="str">
        <f t="shared" si="19"/>
        <v>Normal</v>
      </c>
    </row>
    <row r="238" spans="1:40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 t="shared" si="15"/>
        <v>1</v>
      </c>
      <c r="AK238" t="str">
        <f t="shared" si="16"/>
        <v>25-34</v>
      </c>
      <c r="AL238" t="str">
        <f t="shared" si="17"/>
        <v>5-9 yrs (Senior)</v>
      </c>
      <c r="AM238" t="str">
        <f t="shared" si="18"/>
        <v>Low (&lt;3K)</v>
      </c>
      <c r="AN238" t="str">
        <f t="shared" si="19"/>
        <v>Normal</v>
      </c>
    </row>
    <row r="239" spans="1:40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 t="shared" si="15"/>
        <v>0</v>
      </c>
      <c r="AK239" t="str">
        <f t="shared" si="16"/>
        <v>45-54</v>
      </c>
      <c r="AL239" t="str">
        <f t="shared" si="17"/>
        <v>10+ yrs (Veteran)</v>
      </c>
      <c r="AM239" t="str">
        <f t="shared" si="18"/>
        <v>Very High (12K+)</v>
      </c>
      <c r="AN239" t="str">
        <f t="shared" si="19"/>
        <v>Normal</v>
      </c>
    </row>
    <row r="240" spans="1:40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 t="shared" si="15"/>
        <v>0</v>
      </c>
      <c r="AK240" t="str">
        <f t="shared" si="16"/>
        <v>25-34</v>
      </c>
      <c r="AL240" t="str">
        <f t="shared" si="17"/>
        <v>2-4 yrs (Mid)</v>
      </c>
      <c r="AM240" t="str">
        <f t="shared" si="18"/>
        <v>Mid (3K-7K)</v>
      </c>
      <c r="AN240" t="str">
        <f t="shared" si="19"/>
        <v>Normal</v>
      </c>
    </row>
    <row r="241" spans="1:40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 t="shared" si="15"/>
        <v>1</v>
      </c>
      <c r="AK241" t="str">
        <f t="shared" si="16"/>
        <v>25-34</v>
      </c>
      <c r="AL241" t="str">
        <f t="shared" si="17"/>
        <v>2-4 yrs (Mid)</v>
      </c>
      <c r="AM241" t="str">
        <f t="shared" si="18"/>
        <v>Mid (3K-7K)</v>
      </c>
      <c r="AN241" t="str">
        <f t="shared" si="19"/>
        <v>Normal</v>
      </c>
    </row>
    <row r="242" spans="1:40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 t="shared" si="15"/>
        <v>0</v>
      </c>
      <c r="AK242" t="str">
        <f t="shared" si="16"/>
        <v>35-44</v>
      </c>
      <c r="AL242" t="str">
        <f t="shared" si="17"/>
        <v>2-4 yrs (Mid)</v>
      </c>
      <c r="AM242" t="str">
        <f t="shared" si="18"/>
        <v>Low (&lt;3K)</v>
      </c>
      <c r="AN242" t="str">
        <f t="shared" si="19"/>
        <v>Normal</v>
      </c>
    </row>
    <row r="243" spans="1:40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 t="shared" si="15"/>
        <v>0</v>
      </c>
      <c r="AK243" t="str">
        <f t="shared" si="16"/>
        <v>25-34</v>
      </c>
      <c r="AL243" t="str">
        <f t="shared" si="17"/>
        <v>2-4 yrs (Mid)</v>
      </c>
      <c r="AM243" t="str">
        <f t="shared" si="18"/>
        <v>Mid (3K-7K)</v>
      </c>
      <c r="AN243" t="str">
        <f t="shared" si="19"/>
        <v>Normal</v>
      </c>
    </row>
    <row r="244" spans="1:40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 t="shared" si="15"/>
        <v>0</v>
      </c>
      <c r="AK244" t="str">
        <f t="shared" si="16"/>
        <v>35-44</v>
      </c>
      <c r="AL244" t="str">
        <f t="shared" si="17"/>
        <v>0-1 yrs (New)</v>
      </c>
      <c r="AM244" t="str">
        <f t="shared" si="18"/>
        <v>Mid (3K-7K)</v>
      </c>
      <c r="AN244" t="str">
        <f t="shared" si="19"/>
        <v>Normal</v>
      </c>
    </row>
    <row r="245" spans="1:40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 t="shared" si="15"/>
        <v>0</v>
      </c>
      <c r="AK245" t="str">
        <f t="shared" si="16"/>
        <v>35-44</v>
      </c>
      <c r="AL245" t="str">
        <f t="shared" si="17"/>
        <v>5-9 yrs (Senior)</v>
      </c>
      <c r="AM245" t="str">
        <f t="shared" si="18"/>
        <v>Mid (3K-7K)</v>
      </c>
      <c r="AN245" t="str">
        <f t="shared" si="19"/>
        <v>Normal</v>
      </c>
    </row>
    <row r="246" spans="1:40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 t="shared" si="15"/>
        <v>0</v>
      </c>
      <c r="AK246" t="str">
        <f t="shared" si="16"/>
        <v>45-54</v>
      </c>
      <c r="AL246" t="str">
        <f t="shared" si="17"/>
        <v>10+ yrs (Veteran)</v>
      </c>
      <c r="AM246" t="str">
        <f t="shared" si="18"/>
        <v>Very High (12K+)</v>
      </c>
      <c r="AN246" t="str">
        <f t="shared" si="19"/>
        <v>Normal</v>
      </c>
    </row>
    <row r="247" spans="1:40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 t="shared" si="15"/>
        <v>0</v>
      </c>
      <c r="AK247" t="str">
        <f t="shared" si="16"/>
        <v>25-34</v>
      </c>
      <c r="AL247" t="str">
        <f t="shared" si="17"/>
        <v>2-4 yrs (Mid)</v>
      </c>
      <c r="AM247" t="str">
        <f t="shared" si="18"/>
        <v>Very High (12K+)</v>
      </c>
      <c r="AN247" t="str">
        <f t="shared" si="19"/>
        <v>Normal</v>
      </c>
    </row>
    <row r="248" spans="1:40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 t="shared" si="15"/>
        <v>0</v>
      </c>
      <c r="AK248" t="str">
        <f t="shared" si="16"/>
        <v>25-34</v>
      </c>
      <c r="AL248" t="str">
        <f t="shared" si="17"/>
        <v>2-4 yrs (Mid)</v>
      </c>
      <c r="AM248" t="str">
        <f t="shared" si="18"/>
        <v>Low (&lt;3K)</v>
      </c>
      <c r="AN248" t="str">
        <f t="shared" si="19"/>
        <v>Normal</v>
      </c>
    </row>
    <row r="249" spans="1:40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 t="shared" si="15"/>
        <v>0</v>
      </c>
      <c r="AK249" t="str">
        <f t="shared" si="16"/>
        <v>25-34</v>
      </c>
      <c r="AL249" t="str">
        <f t="shared" si="17"/>
        <v>10+ yrs (Veteran)</v>
      </c>
      <c r="AM249" t="str">
        <f t="shared" si="18"/>
        <v>Mid (3K-7K)</v>
      </c>
      <c r="AN249" t="str">
        <f t="shared" si="19"/>
        <v>Normal</v>
      </c>
    </row>
    <row r="250" spans="1:40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 t="shared" si="15"/>
        <v>0</v>
      </c>
      <c r="AK250" t="str">
        <f t="shared" si="16"/>
        <v>35-44</v>
      </c>
      <c r="AL250" t="str">
        <f t="shared" si="17"/>
        <v>2-4 yrs (Mid)</v>
      </c>
      <c r="AM250" t="str">
        <f t="shared" si="18"/>
        <v>Mid (3K-7K)</v>
      </c>
      <c r="AN250" t="str">
        <f t="shared" si="19"/>
        <v>Normal</v>
      </c>
    </row>
    <row r="251" spans="1:40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 t="shared" si="15"/>
        <v>0</v>
      </c>
      <c r="AK251" t="str">
        <f t="shared" si="16"/>
        <v>45-54</v>
      </c>
      <c r="AL251" t="str">
        <f t="shared" si="17"/>
        <v>2-4 yrs (Mid)</v>
      </c>
      <c r="AM251" t="str">
        <f t="shared" si="18"/>
        <v>Mid (3K-7K)</v>
      </c>
      <c r="AN251" t="str">
        <f t="shared" si="19"/>
        <v>Normal</v>
      </c>
    </row>
    <row r="252" spans="1:40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 t="shared" si="15"/>
        <v>1</v>
      </c>
      <c r="AK252" t="str">
        <f t="shared" si="16"/>
        <v>35-44</v>
      </c>
      <c r="AL252" t="str">
        <f t="shared" si="17"/>
        <v>0-1 yrs (New)</v>
      </c>
      <c r="AM252" t="str">
        <f t="shared" si="18"/>
        <v>High (7K-12K)</v>
      </c>
      <c r="AN252" t="str">
        <f t="shared" si="19"/>
        <v>Normal</v>
      </c>
    </row>
    <row r="253" spans="1:40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 t="shared" si="15"/>
        <v>0</v>
      </c>
      <c r="AK253" t="str">
        <f t="shared" si="16"/>
        <v>35-44</v>
      </c>
      <c r="AL253" t="str">
        <f t="shared" si="17"/>
        <v>10+ yrs (Veteran)</v>
      </c>
      <c r="AM253" t="str">
        <f t="shared" si="18"/>
        <v>High (7K-12K)</v>
      </c>
      <c r="AN253" t="str">
        <f t="shared" si="19"/>
        <v>Normal</v>
      </c>
    </row>
    <row r="254" spans="1:40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 t="shared" si="15"/>
        <v>0</v>
      </c>
      <c r="AK254" t="str">
        <f t="shared" si="16"/>
        <v>25-34</v>
      </c>
      <c r="AL254" t="str">
        <f t="shared" si="17"/>
        <v>5-9 yrs (Senior)</v>
      </c>
      <c r="AM254" t="str">
        <f t="shared" si="18"/>
        <v>Low (&lt;3K)</v>
      </c>
      <c r="AN254" t="str">
        <f t="shared" si="19"/>
        <v>Normal</v>
      </c>
    </row>
    <row r="255" spans="1:40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 t="shared" si="15"/>
        <v>0</v>
      </c>
      <c r="AK255" t="str">
        <f t="shared" si="16"/>
        <v>35-44</v>
      </c>
      <c r="AL255" t="str">
        <f t="shared" si="17"/>
        <v>2-4 yrs (Mid)</v>
      </c>
      <c r="AM255" t="str">
        <f t="shared" si="18"/>
        <v>Mid (3K-7K)</v>
      </c>
      <c r="AN255" t="str">
        <f t="shared" si="19"/>
        <v>High Risk</v>
      </c>
    </row>
    <row r="256" spans="1:40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 t="shared" si="15"/>
        <v>0</v>
      </c>
      <c r="AK256" t="str">
        <f t="shared" si="16"/>
        <v>25-34</v>
      </c>
      <c r="AL256" t="str">
        <f t="shared" si="17"/>
        <v>2-4 yrs (Mid)</v>
      </c>
      <c r="AM256" t="str">
        <f t="shared" si="18"/>
        <v>Mid (3K-7K)</v>
      </c>
      <c r="AN256" t="str">
        <f t="shared" si="19"/>
        <v>Normal</v>
      </c>
    </row>
    <row r="257" spans="1:40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 t="shared" si="15"/>
        <v>0</v>
      </c>
      <c r="AK257" t="str">
        <f t="shared" si="16"/>
        <v>25-34</v>
      </c>
      <c r="AL257" t="str">
        <f t="shared" si="17"/>
        <v>2-4 yrs (Mid)</v>
      </c>
      <c r="AM257" t="str">
        <f t="shared" si="18"/>
        <v>Mid (3K-7K)</v>
      </c>
      <c r="AN257" t="str">
        <f t="shared" si="19"/>
        <v>Normal</v>
      </c>
    </row>
    <row r="258" spans="1:40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 t="shared" si="15"/>
        <v>0</v>
      </c>
      <c r="AK258" t="str">
        <f t="shared" si="16"/>
        <v>35-44</v>
      </c>
      <c r="AL258" t="str">
        <f t="shared" si="17"/>
        <v>5-9 yrs (Senior)</v>
      </c>
      <c r="AM258" t="str">
        <f t="shared" si="18"/>
        <v>Low (&lt;3K)</v>
      </c>
      <c r="AN258" t="str">
        <f t="shared" si="19"/>
        <v>High Risk</v>
      </c>
    </row>
    <row r="259" spans="1:40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 t="shared" ref="AJ259:AJ322" si="20">IF(B259="Yes", 1, 0)</f>
        <v>0</v>
      </c>
      <c r="AK259" t="str">
        <f t="shared" ref="AK259:AK322" si="21">IF(A259&lt;25, "Under 25", IF(A259&lt;35, "25-34", IF(A259&lt;45, "35-44", IF(A259&lt;55, "45-54", "55+"))))</f>
        <v>35-44</v>
      </c>
      <c r="AL259" t="str">
        <f t="shared" ref="AL259:AL322" si="22">IF(AF259&lt;2, "0-1 yrs (New)", IF(AF259&lt;5, "2-4 yrs (Mid)", IF(AF259&lt;10, "5-9 yrs (Senior)", "10+ yrs (Veteran)")))</f>
        <v>10+ yrs (Veteran)</v>
      </c>
      <c r="AM259" t="str">
        <f t="shared" ref="AM259:AM322" si="23">IF(S259&lt;3000, "Low (&lt;3K)", IF(S259&lt;7000, "Mid (3K-7K)", IF(S259&lt;12000, "High (7K-12K)", "Very High (12K+)")))</f>
        <v>Very High (12K+)</v>
      </c>
      <c r="AN259" t="str">
        <f t="shared" ref="AN259:AN322" si="24">IF(AND(W259="Yes", Q259&lt;=2), "High Risk", "Normal")</f>
        <v>Normal</v>
      </c>
    </row>
    <row r="260" spans="1:40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 t="shared" si="20"/>
        <v>0</v>
      </c>
      <c r="AK260" t="str">
        <f t="shared" si="21"/>
        <v>45-54</v>
      </c>
      <c r="AL260" t="str">
        <f t="shared" si="22"/>
        <v>0-1 yrs (New)</v>
      </c>
      <c r="AM260" t="str">
        <f t="shared" si="23"/>
        <v>Low (&lt;3K)</v>
      </c>
      <c r="AN260" t="str">
        <f t="shared" si="24"/>
        <v>Normal</v>
      </c>
    </row>
    <row r="261" spans="1:40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 t="shared" si="20"/>
        <v>1</v>
      </c>
      <c r="AK261" t="str">
        <f t="shared" si="21"/>
        <v>25-34</v>
      </c>
      <c r="AL261" t="str">
        <f t="shared" si="22"/>
        <v>5-9 yrs (Senior)</v>
      </c>
      <c r="AM261" t="str">
        <f t="shared" si="23"/>
        <v>Mid (3K-7K)</v>
      </c>
      <c r="AN261" t="str">
        <f t="shared" si="24"/>
        <v>Normal</v>
      </c>
    </row>
    <row r="262" spans="1:40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 t="shared" si="20"/>
        <v>0</v>
      </c>
      <c r="AK262" t="str">
        <f t="shared" si="21"/>
        <v>25-34</v>
      </c>
      <c r="AL262" t="str">
        <f t="shared" si="22"/>
        <v>5-9 yrs (Senior)</v>
      </c>
      <c r="AM262" t="str">
        <f t="shared" si="23"/>
        <v>Low (&lt;3K)</v>
      </c>
      <c r="AN262" t="str">
        <f t="shared" si="24"/>
        <v>Normal</v>
      </c>
    </row>
    <row r="263" spans="1:40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 t="shared" si="20"/>
        <v>0</v>
      </c>
      <c r="AK263" t="str">
        <f t="shared" si="21"/>
        <v>35-44</v>
      </c>
      <c r="AL263" t="str">
        <f t="shared" si="22"/>
        <v>5-9 yrs (Senior)</v>
      </c>
      <c r="AM263" t="str">
        <f t="shared" si="23"/>
        <v>Mid (3K-7K)</v>
      </c>
      <c r="AN263" t="str">
        <f t="shared" si="24"/>
        <v>Normal</v>
      </c>
    </row>
    <row r="264" spans="1:40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 t="shared" si="20"/>
        <v>0</v>
      </c>
      <c r="AK264" t="str">
        <f t="shared" si="21"/>
        <v>25-34</v>
      </c>
      <c r="AL264" t="str">
        <f t="shared" si="22"/>
        <v>5-9 yrs (Senior)</v>
      </c>
      <c r="AM264" t="str">
        <f t="shared" si="23"/>
        <v>Low (&lt;3K)</v>
      </c>
      <c r="AN264" t="str">
        <f t="shared" si="24"/>
        <v>Normal</v>
      </c>
    </row>
    <row r="265" spans="1:40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 t="shared" si="20"/>
        <v>0</v>
      </c>
      <c r="AK265" t="str">
        <f t="shared" si="21"/>
        <v>45-54</v>
      </c>
      <c r="AL265" t="str">
        <f t="shared" si="22"/>
        <v>5-9 yrs (Senior)</v>
      </c>
      <c r="AM265" t="str">
        <f t="shared" si="23"/>
        <v>Very High (12K+)</v>
      </c>
      <c r="AN265" t="str">
        <f t="shared" si="24"/>
        <v>High Risk</v>
      </c>
    </row>
    <row r="266" spans="1:40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 t="shared" si="20"/>
        <v>1</v>
      </c>
      <c r="AK266" t="str">
        <f t="shared" si="21"/>
        <v>25-34</v>
      </c>
      <c r="AL266" t="str">
        <f t="shared" si="22"/>
        <v>0-1 yrs (New)</v>
      </c>
      <c r="AM266" t="str">
        <f t="shared" si="23"/>
        <v>Mid (3K-7K)</v>
      </c>
      <c r="AN266" t="str">
        <f t="shared" si="24"/>
        <v>Normal</v>
      </c>
    </row>
    <row r="267" spans="1:40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 t="shared" si="20"/>
        <v>0</v>
      </c>
      <c r="AK267" t="str">
        <f t="shared" si="21"/>
        <v>25-34</v>
      </c>
      <c r="AL267" t="str">
        <f t="shared" si="22"/>
        <v>0-1 yrs (New)</v>
      </c>
      <c r="AM267" t="str">
        <f t="shared" si="23"/>
        <v>Mid (3K-7K)</v>
      </c>
      <c r="AN267" t="str">
        <f t="shared" si="24"/>
        <v>Normal</v>
      </c>
    </row>
    <row r="268" spans="1:40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 t="shared" si="20"/>
        <v>0</v>
      </c>
      <c r="AK268" t="str">
        <f t="shared" si="21"/>
        <v>25-34</v>
      </c>
      <c r="AL268" t="str">
        <f t="shared" si="22"/>
        <v>5-9 yrs (Senior)</v>
      </c>
      <c r="AM268" t="str">
        <f t="shared" si="23"/>
        <v>Mid (3K-7K)</v>
      </c>
      <c r="AN268" t="str">
        <f t="shared" si="24"/>
        <v>Normal</v>
      </c>
    </row>
    <row r="269" spans="1:40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 t="shared" si="20"/>
        <v>0</v>
      </c>
      <c r="AK269" t="str">
        <f t="shared" si="21"/>
        <v>25-34</v>
      </c>
      <c r="AL269" t="str">
        <f t="shared" si="22"/>
        <v>5-9 yrs (Senior)</v>
      </c>
      <c r="AM269" t="str">
        <f t="shared" si="23"/>
        <v>Mid (3K-7K)</v>
      </c>
      <c r="AN269" t="str">
        <f t="shared" si="24"/>
        <v>Normal</v>
      </c>
    </row>
    <row r="270" spans="1:40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 t="shared" si="20"/>
        <v>0</v>
      </c>
      <c r="AK270" t="str">
        <f t="shared" si="21"/>
        <v>45-54</v>
      </c>
      <c r="AL270" t="str">
        <f t="shared" si="22"/>
        <v>10+ yrs (Veteran)</v>
      </c>
      <c r="AM270" t="str">
        <f t="shared" si="23"/>
        <v>Very High (12K+)</v>
      </c>
      <c r="AN270" t="str">
        <f t="shared" si="24"/>
        <v>Normal</v>
      </c>
    </row>
    <row r="271" spans="1:40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 t="shared" si="20"/>
        <v>0</v>
      </c>
      <c r="AK271" t="str">
        <f t="shared" si="21"/>
        <v>35-44</v>
      </c>
      <c r="AL271" t="str">
        <f t="shared" si="22"/>
        <v>10+ yrs (Veteran)</v>
      </c>
      <c r="AM271" t="str">
        <f t="shared" si="23"/>
        <v>Mid (3K-7K)</v>
      </c>
      <c r="AN271" t="str">
        <f t="shared" si="24"/>
        <v>Normal</v>
      </c>
    </row>
    <row r="272" spans="1:40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 t="shared" si="20"/>
        <v>0</v>
      </c>
      <c r="AK272" t="str">
        <f t="shared" si="21"/>
        <v>55+</v>
      </c>
      <c r="AL272" t="str">
        <f t="shared" si="22"/>
        <v>10+ yrs (Veteran)</v>
      </c>
      <c r="AM272" t="str">
        <f t="shared" si="23"/>
        <v>Very High (12K+)</v>
      </c>
      <c r="AN272" t="str">
        <f t="shared" si="24"/>
        <v>High Risk</v>
      </c>
    </row>
    <row r="273" spans="1:40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 t="shared" si="20"/>
        <v>1</v>
      </c>
      <c r="AK273" t="str">
        <f t="shared" si="21"/>
        <v>45-54</v>
      </c>
      <c r="AL273" t="str">
        <f t="shared" si="22"/>
        <v>10+ yrs (Veteran)</v>
      </c>
      <c r="AM273" t="str">
        <f t="shared" si="23"/>
        <v>High (7K-12K)</v>
      </c>
      <c r="AN273" t="str">
        <f t="shared" si="24"/>
        <v>High Risk</v>
      </c>
    </row>
    <row r="274" spans="1:40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 t="shared" si="20"/>
        <v>0</v>
      </c>
      <c r="AK274" t="str">
        <f t="shared" si="21"/>
        <v>25-34</v>
      </c>
      <c r="AL274" t="str">
        <f t="shared" si="22"/>
        <v>5-9 yrs (Senior)</v>
      </c>
      <c r="AM274" t="str">
        <f t="shared" si="23"/>
        <v>Low (&lt;3K)</v>
      </c>
      <c r="AN274" t="str">
        <f t="shared" si="24"/>
        <v>Normal</v>
      </c>
    </row>
    <row r="275" spans="1:40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 t="shared" si="20"/>
        <v>0</v>
      </c>
      <c r="AK275" t="str">
        <f t="shared" si="21"/>
        <v>35-44</v>
      </c>
      <c r="AL275" t="str">
        <f t="shared" si="22"/>
        <v>5-9 yrs (Senior)</v>
      </c>
      <c r="AM275" t="str">
        <f t="shared" si="23"/>
        <v>Mid (3K-7K)</v>
      </c>
      <c r="AN275" t="str">
        <f t="shared" si="24"/>
        <v>Normal</v>
      </c>
    </row>
    <row r="276" spans="1:40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 t="shared" si="20"/>
        <v>0</v>
      </c>
      <c r="AK276" t="str">
        <f t="shared" si="21"/>
        <v>Under 25</v>
      </c>
      <c r="AL276" t="str">
        <f t="shared" si="22"/>
        <v>2-4 yrs (Mid)</v>
      </c>
      <c r="AM276" t="str">
        <f t="shared" si="23"/>
        <v>Mid (3K-7K)</v>
      </c>
      <c r="AN276" t="str">
        <f t="shared" si="24"/>
        <v>Normal</v>
      </c>
    </row>
    <row r="277" spans="1:40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 t="shared" si="20"/>
        <v>0</v>
      </c>
      <c r="AK277" t="str">
        <f t="shared" si="21"/>
        <v>35-44</v>
      </c>
      <c r="AL277" t="str">
        <f t="shared" si="22"/>
        <v>5-9 yrs (Senior)</v>
      </c>
      <c r="AM277" t="str">
        <f t="shared" si="23"/>
        <v>Very High (12K+)</v>
      </c>
      <c r="AN277" t="str">
        <f t="shared" si="24"/>
        <v>Normal</v>
      </c>
    </row>
    <row r="278" spans="1:40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 t="shared" si="20"/>
        <v>0</v>
      </c>
      <c r="AK278" t="str">
        <f t="shared" si="21"/>
        <v>35-44</v>
      </c>
      <c r="AL278" t="str">
        <f t="shared" si="22"/>
        <v>5-9 yrs (Senior)</v>
      </c>
      <c r="AM278" t="str">
        <f t="shared" si="23"/>
        <v>High (7K-12K)</v>
      </c>
      <c r="AN278" t="str">
        <f t="shared" si="24"/>
        <v>Normal</v>
      </c>
    </row>
    <row r="279" spans="1:40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 t="shared" si="20"/>
        <v>0</v>
      </c>
      <c r="AK279" t="str">
        <f t="shared" si="21"/>
        <v>35-44</v>
      </c>
      <c r="AL279" t="str">
        <f t="shared" si="22"/>
        <v>5-9 yrs (Senior)</v>
      </c>
      <c r="AM279" t="str">
        <f t="shared" si="23"/>
        <v>Mid (3K-7K)</v>
      </c>
      <c r="AN279" t="str">
        <f t="shared" si="24"/>
        <v>High Risk</v>
      </c>
    </row>
    <row r="280" spans="1:40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 t="shared" si="20"/>
        <v>0</v>
      </c>
      <c r="AK280" t="str">
        <f t="shared" si="21"/>
        <v>25-34</v>
      </c>
      <c r="AL280" t="str">
        <f t="shared" si="22"/>
        <v>5-9 yrs (Senior)</v>
      </c>
      <c r="AM280" t="str">
        <f t="shared" si="23"/>
        <v>Mid (3K-7K)</v>
      </c>
      <c r="AN280" t="str">
        <f t="shared" si="24"/>
        <v>Normal</v>
      </c>
    </row>
    <row r="281" spans="1:40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 t="shared" si="20"/>
        <v>0</v>
      </c>
      <c r="AK281" t="str">
        <f t="shared" si="21"/>
        <v>45-54</v>
      </c>
      <c r="AL281" t="str">
        <f t="shared" si="22"/>
        <v>10+ yrs (Veteran)</v>
      </c>
      <c r="AM281" t="str">
        <f t="shared" si="23"/>
        <v>Very High (12K+)</v>
      </c>
      <c r="AN281" t="str">
        <f t="shared" si="24"/>
        <v>Normal</v>
      </c>
    </row>
    <row r="282" spans="1:40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 t="shared" si="20"/>
        <v>0</v>
      </c>
      <c r="AK282" t="str">
        <f t="shared" si="21"/>
        <v>45-54</v>
      </c>
      <c r="AL282" t="str">
        <f t="shared" si="22"/>
        <v>5-9 yrs (Senior)</v>
      </c>
      <c r="AM282" t="str">
        <f t="shared" si="23"/>
        <v>Very High (12K+)</v>
      </c>
      <c r="AN282" t="str">
        <f t="shared" si="24"/>
        <v>Normal</v>
      </c>
    </row>
    <row r="283" spans="1:40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 t="shared" si="20"/>
        <v>0</v>
      </c>
      <c r="AK283" t="str">
        <f t="shared" si="21"/>
        <v>35-44</v>
      </c>
      <c r="AL283" t="str">
        <f t="shared" si="22"/>
        <v>10+ yrs (Veteran)</v>
      </c>
      <c r="AM283" t="str">
        <f t="shared" si="23"/>
        <v>Mid (3K-7K)</v>
      </c>
      <c r="AN283" t="str">
        <f t="shared" si="24"/>
        <v>Normal</v>
      </c>
    </row>
    <row r="284" spans="1:40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 t="shared" si="20"/>
        <v>0</v>
      </c>
      <c r="AK284" t="str">
        <f t="shared" si="21"/>
        <v>25-34</v>
      </c>
      <c r="AL284" t="str">
        <f t="shared" si="22"/>
        <v>10+ yrs (Veteran)</v>
      </c>
      <c r="AM284" t="str">
        <f t="shared" si="23"/>
        <v>Mid (3K-7K)</v>
      </c>
      <c r="AN284" t="str">
        <f t="shared" si="24"/>
        <v>Normal</v>
      </c>
    </row>
    <row r="285" spans="1:40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 t="shared" si="20"/>
        <v>0</v>
      </c>
      <c r="AK285" t="str">
        <f t="shared" si="21"/>
        <v>55+</v>
      </c>
      <c r="AL285" t="str">
        <f t="shared" si="22"/>
        <v>10+ yrs (Veteran)</v>
      </c>
      <c r="AM285" t="str">
        <f t="shared" si="23"/>
        <v>Mid (3K-7K)</v>
      </c>
      <c r="AN285" t="str">
        <f t="shared" si="24"/>
        <v>Normal</v>
      </c>
    </row>
    <row r="286" spans="1:40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 t="shared" si="20"/>
        <v>0</v>
      </c>
      <c r="AK286" t="str">
        <f t="shared" si="21"/>
        <v>25-34</v>
      </c>
      <c r="AL286" t="str">
        <f t="shared" si="22"/>
        <v>5-9 yrs (Senior)</v>
      </c>
      <c r="AM286" t="str">
        <f t="shared" si="23"/>
        <v>Mid (3K-7K)</v>
      </c>
      <c r="AN286" t="str">
        <f t="shared" si="24"/>
        <v>High Risk</v>
      </c>
    </row>
    <row r="287" spans="1:40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 t="shared" si="20"/>
        <v>0</v>
      </c>
      <c r="AK287" t="str">
        <f t="shared" si="21"/>
        <v>35-44</v>
      </c>
      <c r="AL287" t="str">
        <f t="shared" si="22"/>
        <v>10+ yrs (Veteran)</v>
      </c>
      <c r="AM287" t="str">
        <f t="shared" si="23"/>
        <v>Low (&lt;3K)</v>
      </c>
      <c r="AN287" t="str">
        <f t="shared" si="24"/>
        <v>Normal</v>
      </c>
    </row>
    <row r="288" spans="1:40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 t="shared" si="20"/>
        <v>1</v>
      </c>
      <c r="AK288" t="str">
        <f t="shared" si="21"/>
        <v>35-44</v>
      </c>
      <c r="AL288" t="str">
        <f t="shared" si="22"/>
        <v>0-1 yrs (New)</v>
      </c>
      <c r="AM288" t="str">
        <f t="shared" si="23"/>
        <v>Mid (3K-7K)</v>
      </c>
      <c r="AN288" t="str">
        <f t="shared" si="24"/>
        <v>Normal</v>
      </c>
    </row>
    <row r="289" spans="1:40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 t="shared" si="20"/>
        <v>0</v>
      </c>
      <c r="AK289" t="str">
        <f t="shared" si="21"/>
        <v>35-44</v>
      </c>
      <c r="AL289" t="str">
        <f t="shared" si="22"/>
        <v>2-4 yrs (Mid)</v>
      </c>
      <c r="AM289" t="str">
        <f t="shared" si="23"/>
        <v>Mid (3K-7K)</v>
      </c>
      <c r="AN289" t="str">
        <f t="shared" si="24"/>
        <v>Normal</v>
      </c>
    </row>
    <row r="290" spans="1:40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 t="shared" si="20"/>
        <v>1</v>
      </c>
      <c r="AK290" t="str">
        <f t="shared" si="21"/>
        <v>25-34</v>
      </c>
      <c r="AL290" t="str">
        <f t="shared" si="22"/>
        <v>2-4 yrs (Mid)</v>
      </c>
      <c r="AM290" t="str">
        <f t="shared" si="23"/>
        <v>Low (&lt;3K)</v>
      </c>
      <c r="AN290" t="str">
        <f t="shared" si="24"/>
        <v>High Risk</v>
      </c>
    </row>
    <row r="291" spans="1:40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 t="shared" si="20"/>
        <v>0</v>
      </c>
      <c r="AK291" t="str">
        <f t="shared" si="21"/>
        <v>25-34</v>
      </c>
      <c r="AL291" t="str">
        <f t="shared" si="22"/>
        <v>5-9 yrs (Senior)</v>
      </c>
      <c r="AM291" t="str">
        <f t="shared" si="23"/>
        <v>Mid (3K-7K)</v>
      </c>
      <c r="AN291" t="str">
        <f t="shared" si="24"/>
        <v>Normal</v>
      </c>
    </row>
    <row r="292" spans="1:40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 t="shared" si="20"/>
        <v>0</v>
      </c>
      <c r="AK292" t="str">
        <f t="shared" si="21"/>
        <v>45-54</v>
      </c>
      <c r="AL292" t="str">
        <f t="shared" si="22"/>
        <v>2-4 yrs (Mid)</v>
      </c>
      <c r="AM292" t="str">
        <f t="shared" si="23"/>
        <v>Very High (12K+)</v>
      </c>
      <c r="AN292" t="str">
        <f t="shared" si="24"/>
        <v>High Risk</v>
      </c>
    </row>
    <row r="293" spans="1:40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 t="shared" si="20"/>
        <v>0</v>
      </c>
      <c r="AK293" t="str">
        <f t="shared" si="21"/>
        <v>35-44</v>
      </c>
      <c r="AL293" t="str">
        <f t="shared" si="22"/>
        <v>5-9 yrs (Senior)</v>
      </c>
      <c r="AM293" t="str">
        <f t="shared" si="23"/>
        <v>Mid (3K-7K)</v>
      </c>
      <c r="AN293" t="str">
        <f t="shared" si="24"/>
        <v>Normal</v>
      </c>
    </row>
    <row r="294" spans="1:40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 t="shared" si="20"/>
        <v>0</v>
      </c>
      <c r="AK294" t="str">
        <f t="shared" si="21"/>
        <v>25-34</v>
      </c>
      <c r="AL294" t="str">
        <f t="shared" si="22"/>
        <v>2-4 yrs (Mid)</v>
      </c>
      <c r="AM294" t="str">
        <f t="shared" si="23"/>
        <v>Low (&lt;3K)</v>
      </c>
      <c r="AN294" t="str">
        <f t="shared" si="24"/>
        <v>Normal</v>
      </c>
    </row>
    <row r="295" spans="1:40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 t="shared" si="20"/>
        <v>1</v>
      </c>
      <c r="AK295" t="str">
        <f t="shared" si="21"/>
        <v>25-34</v>
      </c>
      <c r="AL295" t="str">
        <f t="shared" si="22"/>
        <v>5-9 yrs (Senior)</v>
      </c>
      <c r="AM295" t="str">
        <f t="shared" si="23"/>
        <v>Mid (3K-7K)</v>
      </c>
      <c r="AN295" t="str">
        <f t="shared" si="24"/>
        <v>Normal</v>
      </c>
    </row>
    <row r="296" spans="1:40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 t="shared" si="20"/>
        <v>0</v>
      </c>
      <c r="AK296" t="str">
        <f t="shared" si="21"/>
        <v>35-44</v>
      </c>
      <c r="AL296" t="str">
        <f t="shared" si="22"/>
        <v>2-4 yrs (Mid)</v>
      </c>
      <c r="AM296" t="str">
        <f t="shared" si="23"/>
        <v>Low (&lt;3K)</v>
      </c>
      <c r="AN296" t="str">
        <f t="shared" si="24"/>
        <v>Normal</v>
      </c>
    </row>
    <row r="297" spans="1:40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 t="shared" si="20"/>
        <v>0</v>
      </c>
      <c r="AK297" t="str">
        <f t="shared" si="21"/>
        <v>35-44</v>
      </c>
      <c r="AL297" t="str">
        <f t="shared" si="22"/>
        <v>10+ yrs (Veteran)</v>
      </c>
      <c r="AM297" t="str">
        <f t="shared" si="23"/>
        <v>Very High (12K+)</v>
      </c>
      <c r="AN297" t="str">
        <f t="shared" si="24"/>
        <v>Normal</v>
      </c>
    </row>
    <row r="298" spans="1:40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 t="shared" si="20"/>
        <v>1</v>
      </c>
      <c r="AK298" t="str">
        <f t="shared" si="21"/>
        <v>Under 25</v>
      </c>
      <c r="AL298" t="str">
        <f t="shared" si="22"/>
        <v>0-1 yrs (New)</v>
      </c>
      <c r="AM298" t="str">
        <f t="shared" si="23"/>
        <v>Low (&lt;3K)</v>
      </c>
      <c r="AN298" t="str">
        <f t="shared" si="24"/>
        <v>Normal</v>
      </c>
    </row>
    <row r="299" spans="1:40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 t="shared" si="20"/>
        <v>0</v>
      </c>
      <c r="AK299" t="str">
        <f t="shared" si="21"/>
        <v>35-44</v>
      </c>
      <c r="AL299" t="str">
        <f t="shared" si="22"/>
        <v>10+ yrs (Veteran)</v>
      </c>
      <c r="AM299" t="str">
        <f t="shared" si="23"/>
        <v>High (7K-12K)</v>
      </c>
      <c r="AN299" t="str">
        <f t="shared" si="24"/>
        <v>Normal</v>
      </c>
    </row>
    <row r="300" spans="1:40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 t="shared" si="20"/>
        <v>0</v>
      </c>
      <c r="AK300" t="str">
        <f t="shared" si="21"/>
        <v>35-44</v>
      </c>
      <c r="AL300" t="str">
        <f t="shared" si="22"/>
        <v>0-1 yrs (New)</v>
      </c>
      <c r="AM300" t="str">
        <f t="shared" si="23"/>
        <v>Mid (3K-7K)</v>
      </c>
      <c r="AN300" t="str">
        <f t="shared" si="24"/>
        <v>Normal</v>
      </c>
    </row>
    <row r="301" spans="1:40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 t="shared" si="20"/>
        <v>0</v>
      </c>
      <c r="AK301" t="str">
        <f t="shared" si="21"/>
        <v>45-54</v>
      </c>
      <c r="AL301" t="str">
        <f t="shared" si="22"/>
        <v>2-4 yrs (Mid)</v>
      </c>
      <c r="AM301" t="str">
        <f t="shared" si="23"/>
        <v>Mid (3K-7K)</v>
      </c>
      <c r="AN301" t="str">
        <f t="shared" si="24"/>
        <v>Normal</v>
      </c>
    </row>
    <row r="302" spans="1:40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 t="shared" si="20"/>
        <v>0</v>
      </c>
      <c r="AK302" t="str">
        <f t="shared" si="21"/>
        <v>35-44</v>
      </c>
      <c r="AL302" t="str">
        <f t="shared" si="22"/>
        <v>10+ yrs (Veteran)</v>
      </c>
      <c r="AM302" t="str">
        <f t="shared" si="23"/>
        <v>Very High (12K+)</v>
      </c>
      <c r="AN302" t="str">
        <f t="shared" si="24"/>
        <v>Normal</v>
      </c>
    </row>
    <row r="303" spans="1:40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 t="shared" si="20"/>
        <v>0</v>
      </c>
      <c r="AK303" t="str">
        <f t="shared" si="21"/>
        <v>Under 25</v>
      </c>
      <c r="AL303" t="str">
        <f t="shared" si="22"/>
        <v>0-1 yrs (New)</v>
      </c>
      <c r="AM303" t="str">
        <f t="shared" si="23"/>
        <v>Low (&lt;3K)</v>
      </c>
      <c r="AN303" t="str">
        <f t="shared" si="24"/>
        <v>Normal</v>
      </c>
    </row>
    <row r="304" spans="1:40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 t="shared" si="20"/>
        <v>0</v>
      </c>
      <c r="AK304" t="str">
        <f t="shared" si="21"/>
        <v>25-34</v>
      </c>
      <c r="AL304" t="str">
        <f t="shared" si="22"/>
        <v>5-9 yrs (Senior)</v>
      </c>
      <c r="AM304" t="str">
        <f t="shared" si="23"/>
        <v>Mid (3K-7K)</v>
      </c>
      <c r="AN304" t="str">
        <f t="shared" si="24"/>
        <v>Normal</v>
      </c>
    </row>
    <row r="305" spans="1:40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 t="shared" si="20"/>
        <v>0</v>
      </c>
      <c r="AK305" t="str">
        <f t="shared" si="21"/>
        <v>25-34</v>
      </c>
      <c r="AL305" t="str">
        <f t="shared" si="22"/>
        <v>5-9 yrs (Senior)</v>
      </c>
      <c r="AM305" t="str">
        <f t="shared" si="23"/>
        <v>Mid (3K-7K)</v>
      </c>
      <c r="AN305" t="str">
        <f t="shared" si="24"/>
        <v>Normal</v>
      </c>
    </row>
    <row r="306" spans="1:40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 t="shared" si="20"/>
        <v>0</v>
      </c>
      <c r="AK306" t="str">
        <f t="shared" si="21"/>
        <v>35-44</v>
      </c>
      <c r="AL306" t="str">
        <f t="shared" si="22"/>
        <v>10+ yrs (Veteran)</v>
      </c>
      <c r="AM306" t="str">
        <f t="shared" si="23"/>
        <v>High (7K-12K)</v>
      </c>
      <c r="AN306" t="str">
        <f t="shared" si="24"/>
        <v>Normal</v>
      </c>
    </row>
    <row r="307" spans="1:40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 t="shared" si="20"/>
        <v>0</v>
      </c>
      <c r="AK307" t="str">
        <f t="shared" si="21"/>
        <v>35-44</v>
      </c>
      <c r="AL307" t="str">
        <f t="shared" si="22"/>
        <v>5-9 yrs (Senior)</v>
      </c>
      <c r="AM307" t="str">
        <f t="shared" si="23"/>
        <v>Mid (3K-7K)</v>
      </c>
      <c r="AN307" t="str">
        <f t="shared" si="24"/>
        <v>Normal</v>
      </c>
    </row>
    <row r="308" spans="1:40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 t="shared" si="20"/>
        <v>0</v>
      </c>
      <c r="AK308" t="str">
        <f t="shared" si="21"/>
        <v>25-34</v>
      </c>
      <c r="AL308" t="str">
        <f t="shared" si="22"/>
        <v>10+ yrs (Veteran)</v>
      </c>
      <c r="AM308" t="str">
        <f t="shared" si="23"/>
        <v>Mid (3K-7K)</v>
      </c>
      <c r="AN308" t="str">
        <f t="shared" si="24"/>
        <v>Normal</v>
      </c>
    </row>
    <row r="309" spans="1:40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 t="shared" si="20"/>
        <v>0</v>
      </c>
      <c r="AK309" t="str">
        <f t="shared" si="21"/>
        <v>35-44</v>
      </c>
      <c r="AL309" t="str">
        <f t="shared" si="22"/>
        <v>10+ yrs (Veteran)</v>
      </c>
      <c r="AM309" t="str">
        <f t="shared" si="23"/>
        <v>Very High (12K+)</v>
      </c>
      <c r="AN309" t="str">
        <f t="shared" si="24"/>
        <v>Normal</v>
      </c>
    </row>
    <row r="310" spans="1:40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 t="shared" si="20"/>
        <v>0</v>
      </c>
      <c r="AK310" t="str">
        <f t="shared" si="21"/>
        <v>55+</v>
      </c>
      <c r="AL310" t="str">
        <f t="shared" si="22"/>
        <v>5-9 yrs (Senior)</v>
      </c>
      <c r="AM310" t="str">
        <f t="shared" si="23"/>
        <v>Mid (3K-7K)</v>
      </c>
      <c r="AN310" t="str">
        <f t="shared" si="24"/>
        <v>Normal</v>
      </c>
    </row>
    <row r="311" spans="1:40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 t="shared" si="20"/>
        <v>0</v>
      </c>
      <c r="AK311" t="str">
        <f t="shared" si="21"/>
        <v>25-34</v>
      </c>
      <c r="AL311" t="str">
        <f t="shared" si="22"/>
        <v>5-9 yrs (Senior)</v>
      </c>
      <c r="AM311" t="str">
        <f t="shared" si="23"/>
        <v>Mid (3K-7K)</v>
      </c>
      <c r="AN311" t="str">
        <f t="shared" si="24"/>
        <v>Normal</v>
      </c>
    </row>
    <row r="312" spans="1:40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 t="shared" si="20"/>
        <v>0</v>
      </c>
      <c r="AK312" t="str">
        <f t="shared" si="21"/>
        <v>25-34</v>
      </c>
      <c r="AL312" t="str">
        <f t="shared" si="22"/>
        <v>2-4 yrs (Mid)</v>
      </c>
      <c r="AM312" t="str">
        <f t="shared" si="23"/>
        <v>Mid (3K-7K)</v>
      </c>
      <c r="AN312" t="str">
        <f t="shared" si="24"/>
        <v>Normal</v>
      </c>
    </row>
    <row r="313" spans="1:40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 t="shared" si="20"/>
        <v>0</v>
      </c>
      <c r="AK313" t="str">
        <f t="shared" si="21"/>
        <v>45-54</v>
      </c>
      <c r="AL313" t="str">
        <f t="shared" si="22"/>
        <v>10+ yrs (Veteran)</v>
      </c>
      <c r="AM313" t="str">
        <f t="shared" si="23"/>
        <v>Mid (3K-7K)</v>
      </c>
      <c r="AN313" t="str">
        <f t="shared" si="24"/>
        <v>Normal</v>
      </c>
    </row>
    <row r="314" spans="1:40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 t="shared" si="20"/>
        <v>0</v>
      </c>
      <c r="AK314" t="str">
        <f t="shared" si="21"/>
        <v>25-34</v>
      </c>
      <c r="AL314" t="str">
        <f t="shared" si="22"/>
        <v>2-4 yrs (Mid)</v>
      </c>
      <c r="AM314" t="str">
        <f t="shared" si="23"/>
        <v>Low (&lt;3K)</v>
      </c>
      <c r="AN314" t="str">
        <f t="shared" si="24"/>
        <v>Normal</v>
      </c>
    </row>
    <row r="315" spans="1:40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 t="shared" si="20"/>
        <v>0</v>
      </c>
      <c r="AK315" t="str">
        <f t="shared" si="21"/>
        <v>25-34</v>
      </c>
      <c r="AL315" t="str">
        <f t="shared" si="22"/>
        <v>10+ yrs (Veteran)</v>
      </c>
      <c r="AM315" t="str">
        <f t="shared" si="23"/>
        <v>High (7K-12K)</v>
      </c>
      <c r="AN315" t="str">
        <f t="shared" si="24"/>
        <v>Normal</v>
      </c>
    </row>
    <row r="316" spans="1:40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 t="shared" si="20"/>
        <v>0</v>
      </c>
      <c r="AK316" t="str">
        <f t="shared" si="21"/>
        <v>35-44</v>
      </c>
      <c r="AL316" t="str">
        <f t="shared" si="22"/>
        <v>10+ yrs (Veteran)</v>
      </c>
      <c r="AM316" t="str">
        <f t="shared" si="23"/>
        <v>Very High (12K+)</v>
      </c>
      <c r="AN316" t="str">
        <f t="shared" si="24"/>
        <v>High Risk</v>
      </c>
    </row>
    <row r="317" spans="1:40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 t="shared" si="20"/>
        <v>0</v>
      </c>
      <c r="AK317" t="str">
        <f t="shared" si="21"/>
        <v>35-44</v>
      </c>
      <c r="AL317" t="str">
        <f t="shared" si="22"/>
        <v>5-9 yrs (Senior)</v>
      </c>
      <c r="AM317" t="str">
        <f t="shared" si="23"/>
        <v>Low (&lt;3K)</v>
      </c>
      <c r="AN317" t="str">
        <f t="shared" si="24"/>
        <v>Normal</v>
      </c>
    </row>
    <row r="318" spans="1:40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 t="shared" si="20"/>
        <v>0</v>
      </c>
      <c r="AK318" t="str">
        <f t="shared" si="21"/>
        <v>45-54</v>
      </c>
      <c r="AL318" t="str">
        <f t="shared" si="22"/>
        <v>5-9 yrs (Senior)</v>
      </c>
      <c r="AM318" t="str">
        <f t="shared" si="23"/>
        <v>Very High (12K+)</v>
      </c>
      <c r="AN318" t="str">
        <f t="shared" si="24"/>
        <v>Normal</v>
      </c>
    </row>
    <row r="319" spans="1:40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 t="shared" si="20"/>
        <v>1</v>
      </c>
      <c r="AK319" t="str">
        <f t="shared" si="21"/>
        <v>45-54</v>
      </c>
      <c r="AL319" t="str">
        <f t="shared" si="22"/>
        <v>5-9 yrs (Senior)</v>
      </c>
      <c r="AM319" t="str">
        <f t="shared" si="23"/>
        <v>Mid (3K-7K)</v>
      </c>
      <c r="AN319" t="str">
        <f t="shared" si="24"/>
        <v>Normal</v>
      </c>
    </row>
    <row r="320" spans="1:40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 t="shared" si="20"/>
        <v>0</v>
      </c>
      <c r="AK320" t="str">
        <f t="shared" si="21"/>
        <v>25-34</v>
      </c>
      <c r="AL320" t="str">
        <f t="shared" si="22"/>
        <v>2-4 yrs (Mid)</v>
      </c>
      <c r="AM320" t="str">
        <f t="shared" si="23"/>
        <v>Low (&lt;3K)</v>
      </c>
      <c r="AN320" t="str">
        <f t="shared" si="24"/>
        <v>High Risk</v>
      </c>
    </row>
    <row r="321" spans="1:40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 t="shared" si="20"/>
        <v>0</v>
      </c>
      <c r="AK321" t="str">
        <f t="shared" si="21"/>
        <v>25-34</v>
      </c>
      <c r="AL321" t="str">
        <f t="shared" si="22"/>
        <v>10+ yrs (Veteran)</v>
      </c>
      <c r="AM321" t="str">
        <f t="shared" si="23"/>
        <v>Mid (3K-7K)</v>
      </c>
      <c r="AN321" t="str">
        <f t="shared" si="24"/>
        <v>High Risk</v>
      </c>
    </row>
    <row r="322" spans="1:40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 t="shared" si="20"/>
        <v>0</v>
      </c>
      <c r="AK322" t="str">
        <f t="shared" si="21"/>
        <v>25-34</v>
      </c>
      <c r="AL322" t="str">
        <f t="shared" si="22"/>
        <v>5-9 yrs (Senior)</v>
      </c>
      <c r="AM322" t="str">
        <f t="shared" si="23"/>
        <v>Mid (3K-7K)</v>
      </c>
      <c r="AN322" t="str">
        <f t="shared" si="24"/>
        <v>Normal</v>
      </c>
    </row>
    <row r="323" spans="1:40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 t="shared" ref="AJ323:AJ386" si="25">IF(B323="Yes", 1, 0)</f>
        <v>0</v>
      </c>
      <c r="AK323" t="str">
        <f t="shared" ref="AK323:AK386" si="26">IF(A323&lt;25, "Under 25", IF(A323&lt;35, "25-34", IF(A323&lt;45, "35-44", IF(A323&lt;55, "45-54", "55+"))))</f>
        <v>25-34</v>
      </c>
      <c r="AL323" t="str">
        <f t="shared" ref="AL323:AL386" si="27">IF(AF323&lt;2, "0-1 yrs (New)", IF(AF323&lt;5, "2-4 yrs (Mid)", IF(AF323&lt;10, "5-9 yrs (Senior)", "10+ yrs (Veteran)")))</f>
        <v>5-9 yrs (Senior)</v>
      </c>
      <c r="AM323" t="str">
        <f t="shared" ref="AM323:AM386" si="28">IF(S323&lt;3000, "Low (&lt;3K)", IF(S323&lt;7000, "Mid (3K-7K)", IF(S323&lt;12000, "High (7K-12K)", "Very High (12K+)")))</f>
        <v>High (7K-12K)</v>
      </c>
      <c r="AN323" t="str">
        <f t="shared" ref="AN323:AN386" si="29">IF(AND(W323="Yes", Q323&lt;=2), "High Risk", "Normal")</f>
        <v>Normal</v>
      </c>
    </row>
    <row r="324" spans="1:40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 t="shared" si="25"/>
        <v>0</v>
      </c>
      <c r="AK324" t="str">
        <f t="shared" si="26"/>
        <v>25-34</v>
      </c>
      <c r="AL324" t="str">
        <f t="shared" si="27"/>
        <v>5-9 yrs (Senior)</v>
      </c>
      <c r="AM324" t="str">
        <f t="shared" si="28"/>
        <v>Mid (3K-7K)</v>
      </c>
      <c r="AN324" t="str">
        <f t="shared" si="29"/>
        <v>Normal</v>
      </c>
    </row>
    <row r="325" spans="1:40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 t="shared" si="25"/>
        <v>1</v>
      </c>
      <c r="AK325" t="str">
        <f t="shared" si="26"/>
        <v>25-34</v>
      </c>
      <c r="AL325" t="str">
        <f t="shared" si="27"/>
        <v>2-4 yrs (Mid)</v>
      </c>
      <c r="AM325" t="str">
        <f t="shared" si="28"/>
        <v>Mid (3K-7K)</v>
      </c>
      <c r="AN325" t="str">
        <f t="shared" si="29"/>
        <v>Normal</v>
      </c>
    </row>
    <row r="326" spans="1:40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 t="shared" si="25"/>
        <v>0</v>
      </c>
      <c r="AK326" t="str">
        <f t="shared" si="26"/>
        <v>25-34</v>
      </c>
      <c r="AL326" t="str">
        <f t="shared" si="27"/>
        <v>10+ yrs (Veteran)</v>
      </c>
      <c r="AM326" t="str">
        <f t="shared" si="28"/>
        <v>Mid (3K-7K)</v>
      </c>
      <c r="AN326" t="str">
        <f t="shared" si="29"/>
        <v>Normal</v>
      </c>
    </row>
    <row r="327" spans="1:40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 t="shared" si="25"/>
        <v>0</v>
      </c>
      <c r="AK327" t="str">
        <f t="shared" si="26"/>
        <v>25-34</v>
      </c>
      <c r="AL327" t="str">
        <f t="shared" si="27"/>
        <v>10+ yrs (Veteran)</v>
      </c>
      <c r="AM327" t="str">
        <f t="shared" si="28"/>
        <v>High (7K-12K)</v>
      </c>
      <c r="AN327" t="str">
        <f t="shared" si="29"/>
        <v>Normal</v>
      </c>
    </row>
    <row r="328" spans="1:40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 t="shared" si="25"/>
        <v>0</v>
      </c>
      <c r="AK328" t="str">
        <f t="shared" si="26"/>
        <v>35-44</v>
      </c>
      <c r="AL328" t="str">
        <f t="shared" si="27"/>
        <v>10+ yrs (Veteran)</v>
      </c>
      <c r="AM328" t="str">
        <f t="shared" si="28"/>
        <v>Very High (12K+)</v>
      </c>
      <c r="AN328" t="str">
        <f t="shared" si="29"/>
        <v>Normal</v>
      </c>
    </row>
    <row r="329" spans="1:40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 t="shared" si="25"/>
        <v>1</v>
      </c>
      <c r="AK329" t="str">
        <f t="shared" si="26"/>
        <v>35-44</v>
      </c>
      <c r="AL329" t="str">
        <f t="shared" si="27"/>
        <v>0-1 yrs (New)</v>
      </c>
      <c r="AM329" t="str">
        <f t="shared" si="28"/>
        <v>Mid (3K-7K)</v>
      </c>
      <c r="AN329" t="str">
        <f t="shared" si="29"/>
        <v>Normal</v>
      </c>
    </row>
    <row r="330" spans="1:40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 t="shared" si="25"/>
        <v>0</v>
      </c>
      <c r="AK330" t="str">
        <f t="shared" si="26"/>
        <v>25-34</v>
      </c>
      <c r="AL330" t="str">
        <f t="shared" si="27"/>
        <v>5-9 yrs (Senior)</v>
      </c>
      <c r="AM330" t="str">
        <f t="shared" si="28"/>
        <v>Mid (3K-7K)</v>
      </c>
      <c r="AN330" t="str">
        <f t="shared" si="29"/>
        <v>Normal</v>
      </c>
    </row>
    <row r="331" spans="1:40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 t="shared" si="25"/>
        <v>0</v>
      </c>
      <c r="AK331" t="str">
        <f t="shared" si="26"/>
        <v>45-54</v>
      </c>
      <c r="AL331" t="str">
        <f t="shared" si="27"/>
        <v>2-4 yrs (Mid)</v>
      </c>
      <c r="AM331" t="str">
        <f t="shared" si="28"/>
        <v>Very High (12K+)</v>
      </c>
      <c r="AN331" t="str">
        <f t="shared" si="29"/>
        <v>Normal</v>
      </c>
    </row>
    <row r="332" spans="1:40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 t="shared" si="25"/>
        <v>0</v>
      </c>
      <c r="AK332" t="str">
        <f t="shared" si="26"/>
        <v>35-44</v>
      </c>
      <c r="AL332" t="str">
        <f t="shared" si="27"/>
        <v>5-9 yrs (Senior)</v>
      </c>
      <c r="AM332" t="str">
        <f t="shared" si="28"/>
        <v>Mid (3K-7K)</v>
      </c>
      <c r="AN332" t="str">
        <f t="shared" si="29"/>
        <v>Normal</v>
      </c>
    </row>
    <row r="333" spans="1:40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 t="shared" si="25"/>
        <v>0</v>
      </c>
      <c r="AK333" t="str">
        <f t="shared" si="26"/>
        <v>25-34</v>
      </c>
      <c r="AL333" t="str">
        <f t="shared" si="27"/>
        <v>5-9 yrs (Senior)</v>
      </c>
      <c r="AM333" t="str">
        <f t="shared" si="28"/>
        <v>Mid (3K-7K)</v>
      </c>
      <c r="AN333" t="str">
        <f t="shared" si="29"/>
        <v>High Risk</v>
      </c>
    </row>
    <row r="334" spans="1:40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 t="shared" si="25"/>
        <v>0</v>
      </c>
      <c r="AK334" t="str">
        <f t="shared" si="26"/>
        <v>45-54</v>
      </c>
      <c r="AL334" t="str">
        <f t="shared" si="27"/>
        <v>2-4 yrs (Mid)</v>
      </c>
      <c r="AM334" t="str">
        <f t="shared" si="28"/>
        <v>Mid (3K-7K)</v>
      </c>
      <c r="AN334" t="str">
        <f t="shared" si="29"/>
        <v>Normal</v>
      </c>
    </row>
    <row r="335" spans="1:40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 t="shared" si="25"/>
        <v>0</v>
      </c>
      <c r="AK335" t="str">
        <f t="shared" si="26"/>
        <v>35-44</v>
      </c>
      <c r="AL335" t="str">
        <f t="shared" si="27"/>
        <v>0-1 yrs (New)</v>
      </c>
      <c r="AM335" t="str">
        <f t="shared" si="28"/>
        <v>High (7K-12K)</v>
      </c>
      <c r="AN335" t="str">
        <f t="shared" si="29"/>
        <v>Normal</v>
      </c>
    </row>
    <row r="336" spans="1:40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 t="shared" si="25"/>
        <v>0</v>
      </c>
      <c r="AK336" t="str">
        <f t="shared" si="26"/>
        <v>45-54</v>
      </c>
      <c r="AL336" t="str">
        <f t="shared" si="27"/>
        <v>10+ yrs (Veteran)</v>
      </c>
      <c r="AM336" t="str">
        <f t="shared" si="28"/>
        <v>Mid (3K-7K)</v>
      </c>
      <c r="AN336" t="str">
        <f t="shared" si="29"/>
        <v>Normal</v>
      </c>
    </row>
    <row r="337" spans="1:40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 t="shared" si="25"/>
        <v>0</v>
      </c>
      <c r="AK337" t="str">
        <f t="shared" si="26"/>
        <v>35-44</v>
      </c>
      <c r="AL337" t="str">
        <f t="shared" si="27"/>
        <v>2-4 yrs (Mid)</v>
      </c>
      <c r="AM337" t="str">
        <f t="shared" si="28"/>
        <v>High (7K-12K)</v>
      </c>
      <c r="AN337" t="str">
        <f t="shared" si="29"/>
        <v>Normal</v>
      </c>
    </row>
    <row r="338" spans="1:40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 t="shared" si="25"/>
        <v>1</v>
      </c>
      <c r="AK338" t="str">
        <f t="shared" si="26"/>
        <v>25-34</v>
      </c>
      <c r="AL338" t="str">
        <f t="shared" si="27"/>
        <v>5-9 yrs (Senior)</v>
      </c>
      <c r="AM338" t="str">
        <f t="shared" si="28"/>
        <v>Low (&lt;3K)</v>
      </c>
      <c r="AN338" t="str">
        <f t="shared" si="29"/>
        <v>High Risk</v>
      </c>
    </row>
    <row r="339" spans="1:40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 t="shared" si="25"/>
        <v>0</v>
      </c>
      <c r="AK339" t="str">
        <f t="shared" si="26"/>
        <v>25-34</v>
      </c>
      <c r="AL339" t="str">
        <f t="shared" si="27"/>
        <v>2-4 yrs (Mid)</v>
      </c>
      <c r="AM339" t="str">
        <f t="shared" si="28"/>
        <v>Mid (3K-7K)</v>
      </c>
      <c r="AN339" t="str">
        <f t="shared" si="29"/>
        <v>Normal</v>
      </c>
    </row>
    <row r="340" spans="1:40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 t="shared" si="25"/>
        <v>0</v>
      </c>
      <c r="AK340" t="str">
        <f t="shared" si="26"/>
        <v>25-34</v>
      </c>
      <c r="AL340" t="str">
        <f t="shared" si="27"/>
        <v>10+ yrs (Veteran)</v>
      </c>
      <c r="AM340" t="str">
        <f t="shared" si="28"/>
        <v>Mid (3K-7K)</v>
      </c>
      <c r="AN340" t="str">
        <f t="shared" si="29"/>
        <v>Normal</v>
      </c>
    </row>
    <row r="341" spans="1:40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 t="shared" si="25"/>
        <v>0</v>
      </c>
      <c r="AK341" t="str">
        <f t="shared" si="26"/>
        <v>25-34</v>
      </c>
      <c r="AL341" t="str">
        <f t="shared" si="27"/>
        <v>5-9 yrs (Senior)</v>
      </c>
      <c r="AM341" t="str">
        <f t="shared" si="28"/>
        <v>Mid (3K-7K)</v>
      </c>
      <c r="AN341" t="str">
        <f t="shared" si="29"/>
        <v>Normal</v>
      </c>
    </row>
    <row r="342" spans="1:40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 t="shared" si="25"/>
        <v>0</v>
      </c>
      <c r="AK342" t="str">
        <f t="shared" si="26"/>
        <v>35-44</v>
      </c>
      <c r="AL342" t="str">
        <f t="shared" si="27"/>
        <v>5-9 yrs (Senior)</v>
      </c>
      <c r="AM342" t="str">
        <f t="shared" si="28"/>
        <v>Mid (3K-7K)</v>
      </c>
      <c r="AN342" t="str">
        <f t="shared" si="29"/>
        <v>Normal</v>
      </c>
    </row>
    <row r="343" spans="1:40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 t="shared" si="25"/>
        <v>0</v>
      </c>
      <c r="AK343" t="str">
        <f t="shared" si="26"/>
        <v>35-44</v>
      </c>
      <c r="AL343" t="str">
        <f t="shared" si="27"/>
        <v>10+ yrs (Veteran)</v>
      </c>
      <c r="AM343" t="str">
        <f t="shared" si="28"/>
        <v>High (7K-12K)</v>
      </c>
      <c r="AN343" t="str">
        <f t="shared" si="29"/>
        <v>Normal</v>
      </c>
    </row>
    <row r="344" spans="1:40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 t="shared" si="25"/>
        <v>0</v>
      </c>
      <c r="AK344" t="str">
        <f t="shared" si="26"/>
        <v>25-34</v>
      </c>
      <c r="AL344" t="str">
        <f t="shared" si="27"/>
        <v>10+ yrs (Veteran)</v>
      </c>
      <c r="AM344" t="str">
        <f t="shared" si="28"/>
        <v>High (7K-12K)</v>
      </c>
      <c r="AN344" t="str">
        <f t="shared" si="29"/>
        <v>Normal</v>
      </c>
    </row>
    <row r="345" spans="1:40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 t="shared" si="25"/>
        <v>0</v>
      </c>
      <c r="AK345" t="str">
        <f t="shared" si="26"/>
        <v>25-34</v>
      </c>
      <c r="AL345" t="str">
        <f t="shared" si="27"/>
        <v>5-9 yrs (Senior)</v>
      </c>
      <c r="AM345" t="str">
        <f t="shared" si="28"/>
        <v>High (7K-12K)</v>
      </c>
      <c r="AN345" t="str">
        <f t="shared" si="29"/>
        <v>High Risk</v>
      </c>
    </row>
    <row r="346" spans="1:40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 t="shared" si="25"/>
        <v>0</v>
      </c>
      <c r="AK346" t="str">
        <f t="shared" si="26"/>
        <v>35-44</v>
      </c>
      <c r="AL346" t="str">
        <f t="shared" si="27"/>
        <v>10+ yrs (Veteran)</v>
      </c>
      <c r="AM346" t="str">
        <f t="shared" si="28"/>
        <v>High (7K-12K)</v>
      </c>
      <c r="AN346" t="str">
        <f t="shared" si="29"/>
        <v>Normal</v>
      </c>
    </row>
    <row r="347" spans="1:40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 t="shared" si="25"/>
        <v>0</v>
      </c>
      <c r="AK347" t="str">
        <f t="shared" si="26"/>
        <v>Under 25</v>
      </c>
      <c r="AL347" t="str">
        <f t="shared" si="27"/>
        <v>2-4 yrs (Mid)</v>
      </c>
      <c r="AM347" t="str">
        <f t="shared" si="28"/>
        <v>Low (&lt;3K)</v>
      </c>
      <c r="AN347" t="str">
        <f t="shared" si="29"/>
        <v>Normal</v>
      </c>
    </row>
    <row r="348" spans="1:40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 t="shared" si="25"/>
        <v>0</v>
      </c>
      <c r="AK348" t="str">
        <f t="shared" si="26"/>
        <v>35-44</v>
      </c>
      <c r="AL348" t="str">
        <f t="shared" si="27"/>
        <v>5-9 yrs (Senior)</v>
      </c>
      <c r="AM348" t="str">
        <f t="shared" si="28"/>
        <v>Mid (3K-7K)</v>
      </c>
      <c r="AN348" t="str">
        <f t="shared" si="29"/>
        <v>High Risk</v>
      </c>
    </row>
    <row r="349" spans="1:40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 t="shared" si="25"/>
        <v>0</v>
      </c>
      <c r="AK349" t="str">
        <f t="shared" si="26"/>
        <v>45-54</v>
      </c>
      <c r="AL349" t="str">
        <f t="shared" si="27"/>
        <v>0-1 yrs (New)</v>
      </c>
      <c r="AM349" t="str">
        <f t="shared" si="28"/>
        <v>Low (&lt;3K)</v>
      </c>
      <c r="AN349" t="str">
        <f t="shared" si="29"/>
        <v>Normal</v>
      </c>
    </row>
    <row r="350" spans="1:40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 t="shared" si="25"/>
        <v>0</v>
      </c>
      <c r="AK350" t="str">
        <f t="shared" si="26"/>
        <v>35-44</v>
      </c>
      <c r="AL350" t="str">
        <f t="shared" si="27"/>
        <v>0-1 yrs (New)</v>
      </c>
      <c r="AM350" t="str">
        <f t="shared" si="28"/>
        <v>Very High (12K+)</v>
      </c>
      <c r="AN350" t="str">
        <f t="shared" si="29"/>
        <v>Normal</v>
      </c>
    </row>
    <row r="351" spans="1:40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 t="shared" si="25"/>
        <v>0</v>
      </c>
      <c r="AK351" t="str">
        <f t="shared" si="26"/>
        <v>25-34</v>
      </c>
      <c r="AL351" t="str">
        <f t="shared" si="27"/>
        <v>2-4 yrs (Mid)</v>
      </c>
      <c r="AM351" t="str">
        <f t="shared" si="28"/>
        <v>Mid (3K-7K)</v>
      </c>
      <c r="AN351" t="str">
        <f t="shared" si="29"/>
        <v>Normal</v>
      </c>
    </row>
    <row r="352" spans="1:40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 t="shared" si="25"/>
        <v>0</v>
      </c>
      <c r="AK352" t="str">
        <f t="shared" si="26"/>
        <v>35-44</v>
      </c>
      <c r="AL352" t="str">
        <f t="shared" si="27"/>
        <v>2-4 yrs (Mid)</v>
      </c>
      <c r="AM352" t="str">
        <f t="shared" si="28"/>
        <v>Low (&lt;3K)</v>
      </c>
      <c r="AN352" t="str">
        <f t="shared" si="29"/>
        <v>Normal</v>
      </c>
    </row>
    <row r="353" spans="1:40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 t="shared" si="25"/>
        <v>0</v>
      </c>
      <c r="AK353" t="str">
        <f t="shared" si="26"/>
        <v>25-34</v>
      </c>
      <c r="AL353" t="str">
        <f t="shared" si="27"/>
        <v>5-9 yrs (Senior)</v>
      </c>
      <c r="AM353" t="str">
        <f t="shared" si="28"/>
        <v>Low (&lt;3K)</v>
      </c>
      <c r="AN353" t="str">
        <f t="shared" si="29"/>
        <v>Normal</v>
      </c>
    </row>
    <row r="354" spans="1:40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 t="shared" si="25"/>
        <v>0</v>
      </c>
      <c r="AK354" t="str">
        <f t="shared" si="26"/>
        <v>45-54</v>
      </c>
      <c r="AL354" t="str">
        <f t="shared" si="27"/>
        <v>0-1 yrs (New)</v>
      </c>
      <c r="AM354" t="str">
        <f t="shared" si="28"/>
        <v>Very High (12K+)</v>
      </c>
      <c r="AN354" t="str">
        <f t="shared" si="29"/>
        <v>Normal</v>
      </c>
    </row>
    <row r="355" spans="1:40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 t="shared" si="25"/>
        <v>0</v>
      </c>
      <c r="AK355" t="str">
        <f t="shared" si="26"/>
        <v>35-44</v>
      </c>
      <c r="AL355" t="str">
        <f t="shared" si="27"/>
        <v>5-9 yrs (Senior)</v>
      </c>
      <c r="AM355" t="str">
        <f t="shared" si="28"/>
        <v>Mid (3K-7K)</v>
      </c>
      <c r="AN355" t="str">
        <f t="shared" si="29"/>
        <v>High Risk</v>
      </c>
    </row>
    <row r="356" spans="1:40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 t="shared" si="25"/>
        <v>0</v>
      </c>
      <c r="AK356" t="str">
        <f t="shared" si="26"/>
        <v>25-34</v>
      </c>
      <c r="AL356" t="str">
        <f t="shared" si="27"/>
        <v>2-4 yrs (Mid)</v>
      </c>
      <c r="AM356" t="str">
        <f t="shared" si="28"/>
        <v>Mid (3K-7K)</v>
      </c>
      <c r="AN356" t="str">
        <f t="shared" si="29"/>
        <v>Normal</v>
      </c>
    </row>
    <row r="357" spans="1:40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 t="shared" si="25"/>
        <v>0</v>
      </c>
      <c r="AK357" t="str">
        <f t="shared" si="26"/>
        <v>25-34</v>
      </c>
      <c r="AL357" t="str">
        <f t="shared" si="27"/>
        <v>5-9 yrs (Senior)</v>
      </c>
      <c r="AM357" t="str">
        <f t="shared" si="28"/>
        <v>Mid (3K-7K)</v>
      </c>
      <c r="AN357" t="str">
        <f t="shared" si="29"/>
        <v>Normal</v>
      </c>
    </row>
    <row r="358" spans="1:40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 t="shared" si="25"/>
        <v>0</v>
      </c>
      <c r="AK358" t="str">
        <f t="shared" si="26"/>
        <v>35-44</v>
      </c>
      <c r="AL358" t="str">
        <f t="shared" si="27"/>
        <v>0-1 yrs (New)</v>
      </c>
      <c r="AM358" t="str">
        <f t="shared" si="28"/>
        <v>Mid (3K-7K)</v>
      </c>
      <c r="AN358" t="str">
        <f t="shared" si="29"/>
        <v>Normal</v>
      </c>
    </row>
    <row r="359" spans="1:40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 t="shared" si="25"/>
        <v>1</v>
      </c>
      <c r="AK359" t="str">
        <f t="shared" si="26"/>
        <v>Under 25</v>
      </c>
      <c r="AL359" t="str">
        <f t="shared" si="27"/>
        <v>2-4 yrs (Mid)</v>
      </c>
      <c r="AM359" t="str">
        <f t="shared" si="28"/>
        <v>Low (&lt;3K)</v>
      </c>
      <c r="AN359" t="str">
        <f t="shared" si="29"/>
        <v>High Risk</v>
      </c>
    </row>
    <row r="360" spans="1:40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 t="shared" si="25"/>
        <v>0</v>
      </c>
      <c r="AK360" t="str">
        <f t="shared" si="26"/>
        <v>35-44</v>
      </c>
      <c r="AL360" t="str">
        <f t="shared" si="27"/>
        <v>0-1 yrs (New)</v>
      </c>
      <c r="AM360" t="str">
        <f t="shared" si="28"/>
        <v>Mid (3K-7K)</v>
      </c>
      <c r="AN360" t="str">
        <f t="shared" si="29"/>
        <v>Normal</v>
      </c>
    </row>
    <row r="361" spans="1:40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 t="shared" si="25"/>
        <v>0</v>
      </c>
      <c r="AK361" t="str">
        <f t="shared" si="26"/>
        <v>35-44</v>
      </c>
      <c r="AL361" t="str">
        <f t="shared" si="27"/>
        <v>10+ yrs (Veteran)</v>
      </c>
      <c r="AM361" t="str">
        <f t="shared" si="28"/>
        <v>High (7K-12K)</v>
      </c>
      <c r="AN361" t="str">
        <f t="shared" si="29"/>
        <v>Normal</v>
      </c>
    </row>
    <row r="362" spans="1:40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 t="shared" si="25"/>
        <v>0</v>
      </c>
      <c r="AK362" t="str">
        <f t="shared" si="26"/>
        <v>55+</v>
      </c>
      <c r="AL362" t="str">
        <f t="shared" si="27"/>
        <v>2-4 yrs (Mid)</v>
      </c>
      <c r="AM362" t="str">
        <f t="shared" si="28"/>
        <v>Mid (3K-7K)</v>
      </c>
      <c r="AN362" t="str">
        <f t="shared" si="29"/>
        <v>Normal</v>
      </c>
    </row>
    <row r="363" spans="1:40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 t="shared" si="25"/>
        <v>0</v>
      </c>
      <c r="AK363" t="str">
        <f t="shared" si="26"/>
        <v>35-44</v>
      </c>
      <c r="AL363" t="str">
        <f t="shared" si="27"/>
        <v>5-9 yrs (Senior)</v>
      </c>
      <c r="AM363" t="str">
        <f t="shared" si="28"/>
        <v>Low (&lt;3K)</v>
      </c>
      <c r="AN363" t="str">
        <f t="shared" si="29"/>
        <v>Normal</v>
      </c>
    </row>
    <row r="364" spans="1:40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 t="shared" si="25"/>
        <v>0</v>
      </c>
      <c r="AK364" t="str">
        <f t="shared" si="26"/>
        <v>Under 25</v>
      </c>
      <c r="AL364" t="str">
        <f t="shared" si="27"/>
        <v>2-4 yrs (Mid)</v>
      </c>
      <c r="AM364" t="str">
        <f t="shared" si="28"/>
        <v>Low (&lt;3K)</v>
      </c>
      <c r="AN364" t="str">
        <f t="shared" si="29"/>
        <v>Normal</v>
      </c>
    </row>
    <row r="365" spans="1:40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 t="shared" si="25"/>
        <v>1</v>
      </c>
      <c r="AK365" t="str">
        <f t="shared" si="26"/>
        <v>25-34</v>
      </c>
      <c r="AL365" t="str">
        <f t="shared" si="27"/>
        <v>0-1 yrs (New)</v>
      </c>
      <c r="AM365" t="str">
        <f t="shared" si="28"/>
        <v>Low (&lt;3K)</v>
      </c>
      <c r="AN365" t="str">
        <f t="shared" si="29"/>
        <v>Normal</v>
      </c>
    </row>
    <row r="366" spans="1:40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 t="shared" si="25"/>
        <v>0</v>
      </c>
      <c r="AK366" t="str">
        <f t="shared" si="26"/>
        <v>35-44</v>
      </c>
      <c r="AL366" t="str">
        <f t="shared" si="27"/>
        <v>5-9 yrs (Senior)</v>
      </c>
      <c r="AM366" t="str">
        <f t="shared" si="28"/>
        <v>Mid (3K-7K)</v>
      </c>
      <c r="AN366" t="str">
        <f t="shared" si="29"/>
        <v>Normal</v>
      </c>
    </row>
    <row r="367" spans="1:40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 t="shared" si="25"/>
        <v>0</v>
      </c>
      <c r="AK367" t="str">
        <f t="shared" si="26"/>
        <v>45-54</v>
      </c>
      <c r="AL367" t="str">
        <f t="shared" si="27"/>
        <v>0-1 yrs (New)</v>
      </c>
      <c r="AM367" t="str">
        <f t="shared" si="28"/>
        <v>Mid (3K-7K)</v>
      </c>
      <c r="AN367" t="str">
        <f t="shared" si="29"/>
        <v>Normal</v>
      </c>
    </row>
    <row r="368" spans="1:40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 t="shared" si="25"/>
        <v>1</v>
      </c>
      <c r="AK368" t="str">
        <f t="shared" si="26"/>
        <v>35-44</v>
      </c>
      <c r="AL368" t="str">
        <f t="shared" si="27"/>
        <v>5-9 yrs (Senior)</v>
      </c>
      <c r="AM368" t="str">
        <f t="shared" si="28"/>
        <v>High (7K-12K)</v>
      </c>
      <c r="AN368" t="str">
        <f t="shared" si="29"/>
        <v>Normal</v>
      </c>
    </row>
    <row r="369" spans="1:40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 t="shared" si="25"/>
        <v>0</v>
      </c>
      <c r="AK369" t="str">
        <f t="shared" si="26"/>
        <v>45-54</v>
      </c>
      <c r="AL369" t="str">
        <f t="shared" si="27"/>
        <v>2-4 yrs (Mid)</v>
      </c>
      <c r="AM369" t="str">
        <f t="shared" si="28"/>
        <v>High (7K-12K)</v>
      </c>
      <c r="AN369" t="str">
        <f t="shared" si="29"/>
        <v>Normal</v>
      </c>
    </row>
    <row r="370" spans="1:40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 t="shared" si="25"/>
        <v>1</v>
      </c>
      <c r="AK370" t="str">
        <f t="shared" si="26"/>
        <v>35-44</v>
      </c>
      <c r="AL370" t="str">
        <f t="shared" si="27"/>
        <v>5-9 yrs (Senior)</v>
      </c>
      <c r="AM370" t="str">
        <f t="shared" si="28"/>
        <v>Mid (3K-7K)</v>
      </c>
      <c r="AN370" t="str">
        <f t="shared" si="29"/>
        <v>Normal</v>
      </c>
    </row>
    <row r="371" spans="1:40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 t="shared" si="25"/>
        <v>0</v>
      </c>
      <c r="AK371" t="str">
        <f t="shared" si="26"/>
        <v>25-34</v>
      </c>
      <c r="AL371" t="str">
        <f t="shared" si="27"/>
        <v>2-4 yrs (Mid)</v>
      </c>
      <c r="AM371" t="str">
        <f t="shared" si="28"/>
        <v>Low (&lt;3K)</v>
      </c>
      <c r="AN371" t="str">
        <f t="shared" si="29"/>
        <v>High Risk</v>
      </c>
    </row>
    <row r="372" spans="1:40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 t="shared" si="25"/>
        <v>1</v>
      </c>
      <c r="AK372" t="str">
        <f t="shared" si="26"/>
        <v>Under 25</v>
      </c>
      <c r="AL372" t="str">
        <f t="shared" si="27"/>
        <v>0-1 yrs (New)</v>
      </c>
      <c r="AM372" t="str">
        <f t="shared" si="28"/>
        <v>Low (&lt;3K)</v>
      </c>
      <c r="AN372" t="str">
        <f t="shared" si="29"/>
        <v>Normal</v>
      </c>
    </row>
    <row r="373" spans="1:40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 t="shared" si="25"/>
        <v>0</v>
      </c>
      <c r="AK373" t="str">
        <f t="shared" si="26"/>
        <v>25-34</v>
      </c>
      <c r="AL373" t="str">
        <f t="shared" si="27"/>
        <v>2-4 yrs (Mid)</v>
      </c>
      <c r="AM373" t="str">
        <f t="shared" si="28"/>
        <v>Low (&lt;3K)</v>
      </c>
      <c r="AN373" t="str">
        <f t="shared" si="29"/>
        <v>Normal</v>
      </c>
    </row>
    <row r="374" spans="1:40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 t="shared" si="25"/>
        <v>0</v>
      </c>
      <c r="AK374" t="str">
        <f t="shared" si="26"/>
        <v>35-44</v>
      </c>
      <c r="AL374" t="str">
        <f t="shared" si="27"/>
        <v>0-1 yrs (New)</v>
      </c>
      <c r="AM374" t="str">
        <f t="shared" si="28"/>
        <v>Mid (3K-7K)</v>
      </c>
      <c r="AN374" t="str">
        <f t="shared" si="29"/>
        <v>Normal</v>
      </c>
    </row>
    <row r="375" spans="1:40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 t="shared" si="25"/>
        <v>0</v>
      </c>
      <c r="AK375" t="str">
        <f t="shared" si="26"/>
        <v>25-34</v>
      </c>
      <c r="AL375" t="str">
        <f t="shared" si="27"/>
        <v>5-9 yrs (Senior)</v>
      </c>
      <c r="AM375" t="str">
        <f t="shared" si="28"/>
        <v>Mid (3K-7K)</v>
      </c>
      <c r="AN375" t="str">
        <f t="shared" si="29"/>
        <v>Normal</v>
      </c>
    </row>
    <row r="376" spans="1:40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 t="shared" si="25"/>
        <v>0</v>
      </c>
      <c r="AK376" t="str">
        <f t="shared" si="26"/>
        <v>25-34</v>
      </c>
      <c r="AL376" t="str">
        <f t="shared" si="27"/>
        <v>5-9 yrs (Senior)</v>
      </c>
      <c r="AM376" t="str">
        <f t="shared" si="28"/>
        <v>Mid (3K-7K)</v>
      </c>
      <c r="AN376" t="str">
        <f t="shared" si="29"/>
        <v>Normal</v>
      </c>
    </row>
    <row r="377" spans="1:40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 t="shared" si="25"/>
        <v>0</v>
      </c>
      <c r="AK377" t="str">
        <f t="shared" si="26"/>
        <v>45-54</v>
      </c>
      <c r="AL377" t="str">
        <f t="shared" si="27"/>
        <v>5-9 yrs (Senior)</v>
      </c>
      <c r="AM377" t="str">
        <f t="shared" si="28"/>
        <v>High (7K-12K)</v>
      </c>
      <c r="AN377" t="str">
        <f t="shared" si="29"/>
        <v>Normal</v>
      </c>
    </row>
    <row r="378" spans="1:40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 t="shared" si="25"/>
        <v>0</v>
      </c>
      <c r="AK378" t="str">
        <f t="shared" si="26"/>
        <v>45-54</v>
      </c>
      <c r="AL378" t="str">
        <f t="shared" si="27"/>
        <v>5-9 yrs (Senior)</v>
      </c>
      <c r="AM378" t="str">
        <f t="shared" si="28"/>
        <v>Mid (3K-7K)</v>
      </c>
      <c r="AN378" t="str">
        <f t="shared" si="29"/>
        <v>Normal</v>
      </c>
    </row>
    <row r="379" spans="1:40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 t="shared" si="25"/>
        <v>0</v>
      </c>
      <c r="AK379" t="str">
        <f t="shared" si="26"/>
        <v>35-44</v>
      </c>
      <c r="AL379" t="str">
        <f t="shared" si="27"/>
        <v>2-4 yrs (Mid)</v>
      </c>
      <c r="AM379" t="str">
        <f t="shared" si="28"/>
        <v>Low (&lt;3K)</v>
      </c>
      <c r="AN379" t="str">
        <f t="shared" si="29"/>
        <v>Normal</v>
      </c>
    </row>
    <row r="380" spans="1:40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 t="shared" si="25"/>
        <v>1</v>
      </c>
      <c r="AK380" t="str">
        <f t="shared" si="26"/>
        <v>25-34</v>
      </c>
      <c r="AL380" t="str">
        <f t="shared" si="27"/>
        <v>5-9 yrs (Senior)</v>
      </c>
      <c r="AM380" t="str">
        <f t="shared" si="28"/>
        <v>Mid (3K-7K)</v>
      </c>
      <c r="AN380" t="str">
        <f t="shared" si="29"/>
        <v>Normal</v>
      </c>
    </row>
    <row r="381" spans="1:40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 t="shared" si="25"/>
        <v>0</v>
      </c>
      <c r="AK381" t="str">
        <f t="shared" si="26"/>
        <v>55+</v>
      </c>
      <c r="AL381" t="str">
        <f t="shared" si="27"/>
        <v>5-9 yrs (Senior)</v>
      </c>
      <c r="AM381" t="str">
        <f t="shared" si="28"/>
        <v>Very High (12K+)</v>
      </c>
      <c r="AN381" t="str">
        <f t="shared" si="29"/>
        <v>Normal</v>
      </c>
    </row>
    <row r="382" spans="1:40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 t="shared" si="25"/>
        <v>0</v>
      </c>
      <c r="AK382" t="str">
        <f t="shared" si="26"/>
        <v>Under 25</v>
      </c>
      <c r="AL382" t="str">
        <f t="shared" si="27"/>
        <v>5-9 yrs (Senior)</v>
      </c>
      <c r="AM382" t="str">
        <f t="shared" si="28"/>
        <v>Mid (3K-7K)</v>
      </c>
      <c r="AN382" t="str">
        <f t="shared" si="29"/>
        <v>Normal</v>
      </c>
    </row>
    <row r="383" spans="1:40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 t="shared" si="25"/>
        <v>0</v>
      </c>
      <c r="AK383" t="str">
        <f t="shared" si="26"/>
        <v>25-34</v>
      </c>
      <c r="AL383" t="str">
        <f t="shared" si="27"/>
        <v>0-1 yrs (New)</v>
      </c>
      <c r="AM383" t="str">
        <f t="shared" si="28"/>
        <v>Low (&lt;3K)</v>
      </c>
      <c r="AN383" t="str">
        <f t="shared" si="29"/>
        <v>Normal</v>
      </c>
    </row>
    <row r="384" spans="1:40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 t="shared" si="25"/>
        <v>1</v>
      </c>
      <c r="AK384" t="str">
        <f t="shared" si="26"/>
        <v>25-34</v>
      </c>
      <c r="AL384" t="str">
        <f t="shared" si="27"/>
        <v>5-9 yrs (Senior)</v>
      </c>
      <c r="AM384" t="str">
        <f t="shared" si="28"/>
        <v>Mid (3K-7K)</v>
      </c>
      <c r="AN384" t="str">
        <f t="shared" si="29"/>
        <v>Normal</v>
      </c>
    </row>
    <row r="385" spans="1:40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 t="shared" si="25"/>
        <v>0</v>
      </c>
      <c r="AK385" t="str">
        <f t="shared" si="26"/>
        <v>Under 25</v>
      </c>
      <c r="AL385" t="str">
        <f t="shared" si="27"/>
        <v>2-4 yrs (Mid)</v>
      </c>
      <c r="AM385" t="str">
        <f t="shared" si="28"/>
        <v>Low (&lt;3K)</v>
      </c>
      <c r="AN385" t="str">
        <f t="shared" si="29"/>
        <v>Normal</v>
      </c>
    </row>
    <row r="386" spans="1:40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 t="shared" si="25"/>
        <v>0</v>
      </c>
      <c r="AK386" t="str">
        <f t="shared" si="26"/>
        <v>35-44</v>
      </c>
      <c r="AL386" t="str">
        <f t="shared" si="27"/>
        <v>10+ yrs (Veteran)</v>
      </c>
      <c r="AM386" t="str">
        <f t="shared" si="28"/>
        <v>High (7K-12K)</v>
      </c>
      <c r="AN386" t="str">
        <f t="shared" si="29"/>
        <v>Normal</v>
      </c>
    </row>
    <row r="387" spans="1:40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 t="shared" ref="AJ387:AJ450" si="30">IF(B387="Yes", 1, 0)</f>
        <v>1</v>
      </c>
      <c r="AK387" t="str">
        <f t="shared" ref="AK387:AK450" si="31">IF(A387&lt;25, "Under 25", IF(A387&lt;35, "25-34", IF(A387&lt;45, "35-44", IF(A387&lt;55, "45-54", "55+"))))</f>
        <v>25-34</v>
      </c>
      <c r="AL387" t="str">
        <f t="shared" ref="AL387:AL450" si="32">IF(AF387&lt;2, "0-1 yrs (New)", IF(AF387&lt;5, "2-4 yrs (Mid)", IF(AF387&lt;10, "5-9 yrs (Senior)", "10+ yrs (Veteran)")))</f>
        <v>0-1 yrs (New)</v>
      </c>
      <c r="AM387" t="str">
        <f t="shared" ref="AM387:AM450" si="33">IF(S387&lt;3000, "Low (&lt;3K)", IF(S387&lt;7000, "Mid (3K-7K)", IF(S387&lt;12000, "High (7K-12K)", "Very High (12K+)")))</f>
        <v>Low (&lt;3K)</v>
      </c>
      <c r="AN387" t="str">
        <f t="shared" ref="AN387:AN450" si="34">IF(AND(W387="Yes", Q387&lt;=2), "High Risk", "Normal")</f>
        <v>Normal</v>
      </c>
    </row>
    <row r="388" spans="1:40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 t="shared" si="30"/>
        <v>0</v>
      </c>
      <c r="AK388" t="str">
        <f t="shared" si="31"/>
        <v>35-44</v>
      </c>
      <c r="AL388" t="str">
        <f t="shared" si="32"/>
        <v>10+ yrs (Veteran)</v>
      </c>
      <c r="AM388" t="str">
        <f t="shared" si="33"/>
        <v>Mid (3K-7K)</v>
      </c>
      <c r="AN388" t="str">
        <f t="shared" si="34"/>
        <v>Normal</v>
      </c>
    </row>
    <row r="389" spans="1:40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 t="shared" si="30"/>
        <v>0</v>
      </c>
      <c r="AK389" t="str">
        <f t="shared" si="31"/>
        <v>35-44</v>
      </c>
      <c r="AL389" t="str">
        <f t="shared" si="32"/>
        <v>5-9 yrs (Senior)</v>
      </c>
      <c r="AM389" t="str">
        <f t="shared" si="33"/>
        <v>Mid (3K-7K)</v>
      </c>
      <c r="AN389" t="str">
        <f t="shared" si="34"/>
        <v>Normal</v>
      </c>
    </row>
    <row r="390" spans="1:40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 t="shared" si="30"/>
        <v>0</v>
      </c>
      <c r="AK390" t="str">
        <f t="shared" si="31"/>
        <v>35-44</v>
      </c>
      <c r="AL390" t="str">
        <f t="shared" si="32"/>
        <v>5-9 yrs (Senior)</v>
      </c>
      <c r="AM390" t="str">
        <f t="shared" si="33"/>
        <v>Low (&lt;3K)</v>
      </c>
      <c r="AN390" t="str">
        <f t="shared" si="34"/>
        <v>Normal</v>
      </c>
    </row>
    <row r="391" spans="1:40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 t="shared" si="30"/>
        <v>0</v>
      </c>
      <c r="AK391" t="str">
        <f t="shared" si="31"/>
        <v>35-44</v>
      </c>
      <c r="AL391" t="str">
        <f t="shared" si="32"/>
        <v>0-1 yrs (New)</v>
      </c>
      <c r="AM391" t="str">
        <f t="shared" si="33"/>
        <v>Mid (3K-7K)</v>
      </c>
      <c r="AN391" t="str">
        <f t="shared" si="34"/>
        <v>High Risk</v>
      </c>
    </row>
    <row r="392" spans="1:40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 t="shared" si="30"/>
        <v>0</v>
      </c>
      <c r="AK392" t="str">
        <f t="shared" si="31"/>
        <v>35-44</v>
      </c>
      <c r="AL392" t="str">
        <f t="shared" si="32"/>
        <v>10+ yrs (Veteran)</v>
      </c>
      <c r="AM392" t="str">
        <f t="shared" si="33"/>
        <v>Very High (12K+)</v>
      </c>
      <c r="AN392" t="str">
        <f t="shared" si="34"/>
        <v>Normal</v>
      </c>
    </row>
    <row r="393" spans="1:40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 t="shared" si="30"/>
        <v>0</v>
      </c>
      <c r="AK393" t="str">
        <f t="shared" si="31"/>
        <v>35-44</v>
      </c>
      <c r="AL393" t="str">
        <f t="shared" si="32"/>
        <v>0-1 yrs (New)</v>
      </c>
      <c r="AM393" t="str">
        <f t="shared" si="33"/>
        <v>Mid (3K-7K)</v>
      </c>
      <c r="AN393" t="str">
        <f t="shared" si="34"/>
        <v>Normal</v>
      </c>
    </row>
    <row r="394" spans="1:40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 t="shared" si="30"/>
        <v>0</v>
      </c>
      <c r="AK394" t="str">
        <f t="shared" si="31"/>
        <v>45-54</v>
      </c>
      <c r="AL394" t="str">
        <f t="shared" si="32"/>
        <v>2-4 yrs (Mid)</v>
      </c>
      <c r="AM394" t="str">
        <f t="shared" si="33"/>
        <v>Very High (12K+)</v>
      </c>
      <c r="AN394" t="str">
        <f t="shared" si="34"/>
        <v>Normal</v>
      </c>
    </row>
    <row r="395" spans="1:40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 t="shared" si="30"/>
        <v>0</v>
      </c>
      <c r="AK395" t="str">
        <f t="shared" si="31"/>
        <v>25-34</v>
      </c>
      <c r="AL395" t="str">
        <f t="shared" si="32"/>
        <v>2-4 yrs (Mid)</v>
      </c>
      <c r="AM395" t="str">
        <f t="shared" si="33"/>
        <v>Mid (3K-7K)</v>
      </c>
      <c r="AN395" t="str">
        <f t="shared" si="34"/>
        <v>Normal</v>
      </c>
    </row>
    <row r="396" spans="1:40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 t="shared" si="30"/>
        <v>0</v>
      </c>
      <c r="AK396" t="str">
        <f t="shared" si="31"/>
        <v>25-34</v>
      </c>
      <c r="AL396" t="str">
        <f t="shared" si="32"/>
        <v>10+ yrs (Veteran)</v>
      </c>
      <c r="AM396" t="str">
        <f t="shared" si="33"/>
        <v>Mid (3K-7K)</v>
      </c>
      <c r="AN396" t="str">
        <f t="shared" si="34"/>
        <v>Normal</v>
      </c>
    </row>
    <row r="397" spans="1:40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 t="shared" si="30"/>
        <v>0</v>
      </c>
      <c r="AK397" t="str">
        <f t="shared" si="31"/>
        <v>35-44</v>
      </c>
      <c r="AL397" t="str">
        <f t="shared" si="32"/>
        <v>2-4 yrs (Mid)</v>
      </c>
      <c r="AM397" t="str">
        <f t="shared" si="33"/>
        <v>Low (&lt;3K)</v>
      </c>
      <c r="AN397" t="str">
        <f t="shared" si="34"/>
        <v>Normal</v>
      </c>
    </row>
    <row r="398" spans="1:40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 t="shared" si="30"/>
        <v>0</v>
      </c>
      <c r="AK398" t="str">
        <f t="shared" si="31"/>
        <v>35-44</v>
      </c>
      <c r="AL398" t="str">
        <f t="shared" si="32"/>
        <v>5-9 yrs (Senior)</v>
      </c>
      <c r="AM398" t="str">
        <f t="shared" si="33"/>
        <v>Mid (3K-7K)</v>
      </c>
      <c r="AN398" t="str">
        <f t="shared" si="34"/>
        <v>Normal</v>
      </c>
    </row>
    <row r="399" spans="1:40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 t="shared" si="30"/>
        <v>0</v>
      </c>
      <c r="AK399" t="str">
        <f t="shared" si="31"/>
        <v>25-34</v>
      </c>
      <c r="AL399" t="str">
        <f t="shared" si="32"/>
        <v>5-9 yrs (Senior)</v>
      </c>
      <c r="AM399" t="str">
        <f t="shared" si="33"/>
        <v>Mid (3K-7K)</v>
      </c>
      <c r="AN399" t="str">
        <f t="shared" si="34"/>
        <v>Normal</v>
      </c>
    </row>
    <row r="400" spans="1:40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 t="shared" si="30"/>
        <v>0</v>
      </c>
      <c r="AK400" t="str">
        <f t="shared" si="31"/>
        <v>35-44</v>
      </c>
      <c r="AL400" t="str">
        <f t="shared" si="32"/>
        <v>10+ yrs (Veteran)</v>
      </c>
      <c r="AM400" t="str">
        <f t="shared" si="33"/>
        <v>Mid (3K-7K)</v>
      </c>
      <c r="AN400" t="str">
        <f t="shared" si="34"/>
        <v>Normal</v>
      </c>
    </row>
    <row r="401" spans="1:40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 t="shared" si="30"/>
        <v>0</v>
      </c>
      <c r="AK401" t="str">
        <f t="shared" si="31"/>
        <v>25-34</v>
      </c>
      <c r="AL401" t="str">
        <f t="shared" si="32"/>
        <v>2-4 yrs (Mid)</v>
      </c>
      <c r="AM401" t="str">
        <f t="shared" si="33"/>
        <v>Low (&lt;3K)</v>
      </c>
      <c r="AN401" t="str">
        <f t="shared" si="34"/>
        <v>Normal</v>
      </c>
    </row>
    <row r="402" spans="1:40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 t="shared" si="30"/>
        <v>0</v>
      </c>
      <c r="AK402" t="str">
        <f t="shared" si="31"/>
        <v>35-44</v>
      </c>
      <c r="AL402" t="str">
        <f t="shared" si="32"/>
        <v>10+ yrs (Veteran)</v>
      </c>
      <c r="AM402" t="str">
        <f t="shared" si="33"/>
        <v>Very High (12K+)</v>
      </c>
      <c r="AN402" t="str">
        <f t="shared" si="34"/>
        <v>Normal</v>
      </c>
    </row>
    <row r="403" spans="1:40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 t="shared" si="30"/>
        <v>0</v>
      </c>
      <c r="AK403" t="str">
        <f t="shared" si="31"/>
        <v>55+</v>
      </c>
      <c r="AL403" t="str">
        <f t="shared" si="32"/>
        <v>5-9 yrs (Senior)</v>
      </c>
      <c r="AM403" t="str">
        <f t="shared" si="33"/>
        <v>Very High (12K+)</v>
      </c>
      <c r="AN403" t="str">
        <f t="shared" si="34"/>
        <v>Normal</v>
      </c>
    </row>
    <row r="404" spans="1:40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 t="shared" si="30"/>
        <v>0</v>
      </c>
      <c r="AK404" t="str">
        <f t="shared" si="31"/>
        <v>25-34</v>
      </c>
      <c r="AL404" t="str">
        <f t="shared" si="32"/>
        <v>5-9 yrs (Senior)</v>
      </c>
      <c r="AM404" t="str">
        <f t="shared" si="33"/>
        <v>Mid (3K-7K)</v>
      </c>
      <c r="AN404" t="str">
        <f t="shared" si="34"/>
        <v>Normal</v>
      </c>
    </row>
    <row r="405" spans="1:40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 t="shared" si="30"/>
        <v>0</v>
      </c>
      <c r="AK405" t="str">
        <f t="shared" si="31"/>
        <v>35-44</v>
      </c>
      <c r="AL405" t="str">
        <f t="shared" si="32"/>
        <v>10+ yrs (Veteran)</v>
      </c>
      <c r="AM405" t="str">
        <f t="shared" si="33"/>
        <v>High (7K-12K)</v>
      </c>
      <c r="AN405" t="str">
        <f t="shared" si="34"/>
        <v>Normal</v>
      </c>
    </row>
    <row r="406" spans="1:40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 t="shared" si="30"/>
        <v>0</v>
      </c>
      <c r="AK406" t="str">
        <f t="shared" si="31"/>
        <v>25-34</v>
      </c>
      <c r="AL406" t="str">
        <f t="shared" si="32"/>
        <v>10+ yrs (Veteran)</v>
      </c>
      <c r="AM406" t="str">
        <f t="shared" si="33"/>
        <v>Mid (3K-7K)</v>
      </c>
      <c r="AN406" t="str">
        <f t="shared" si="34"/>
        <v>Normal</v>
      </c>
    </row>
    <row r="407" spans="1:40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 t="shared" si="30"/>
        <v>1</v>
      </c>
      <c r="AK407" t="str">
        <f t="shared" si="31"/>
        <v>25-34</v>
      </c>
      <c r="AL407" t="str">
        <f t="shared" si="32"/>
        <v>2-4 yrs (Mid)</v>
      </c>
      <c r="AM407" t="str">
        <f t="shared" si="33"/>
        <v>Mid (3K-7K)</v>
      </c>
      <c r="AN407" t="str">
        <f t="shared" si="34"/>
        <v>Normal</v>
      </c>
    </row>
    <row r="408" spans="1:40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 t="shared" si="30"/>
        <v>0</v>
      </c>
      <c r="AK408" t="str">
        <f t="shared" si="31"/>
        <v>45-54</v>
      </c>
      <c r="AL408" t="str">
        <f t="shared" si="32"/>
        <v>5-9 yrs (Senior)</v>
      </c>
      <c r="AM408" t="str">
        <f t="shared" si="33"/>
        <v>High (7K-12K)</v>
      </c>
      <c r="AN408" t="str">
        <f t="shared" si="34"/>
        <v>Normal</v>
      </c>
    </row>
    <row r="409" spans="1:40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 t="shared" si="30"/>
        <v>0</v>
      </c>
      <c r="AK409" t="str">
        <f t="shared" si="31"/>
        <v>45-54</v>
      </c>
      <c r="AL409" t="str">
        <f t="shared" si="32"/>
        <v>2-4 yrs (Mid)</v>
      </c>
      <c r="AM409" t="str">
        <f t="shared" si="33"/>
        <v>Low (&lt;3K)</v>
      </c>
      <c r="AN409" t="str">
        <f t="shared" si="34"/>
        <v>Normal</v>
      </c>
    </row>
    <row r="410" spans="1:40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 t="shared" si="30"/>
        <v>0</v>
      </c>
      <c r="AK410" t="str">
        <f t="shared" si="31"/>
        <v>45-54</v>
      </c>
      <c r="AL410" t="str">
        <f t="shared" si="32"/>
        <v>5-9 yrs (Senior)</v>
      </c>
      <c r="AM410" t="str">
        <f t="shared" si="33"/>
        <v>Very High (12K+)</v>
      </c>
      <c r="AN410" t="str">
        <f t="shared" si="34"/>
        <v>Normal</v>
      </c>
    </row>
    <row r="411" spans="1:40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 t="shared" si="30"/>
        <v>0</v>
      </c>
      <c r="AK411" t="str">
        <f t="shared" si="31"/>
        <v>35-44</v>
      </c>
      <c r="AL411" t="str">
        <f t="shared" si="32"/>
        <v>5-9 yrs (Senior)</v>
      </c>
      <c r="AM411" t="str">
        <f t="shared" si="33"/>
        <v>Mid (3K-7K)</v>
      </c>
      <c r="AN411" t="str">
        <f t="shared" si="34"/>
        <v>Normal</v>
      </c>
    </row>
    <row r="412" spans="1:40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 t="shared" si="30"/>
        <v>0</v>
      </c>
      <c r="AK412" t="str">
        <f t="shared" si="31"/>
        <v>25-34</v>
      </c>
      <c r="AL412" t="str">
        <f t="shared" si="32"/>
        <v>5-9 yrs (Senior)</v>
      </c>
      <c r="AM412" t="str">
        <f t="shared" si="33"/>
        <v>Mid (3K-7K)</v>
      </c>
      <c r="AN412" t="str">
        <f t="shared" si="34"/>
        <v>Normal</v>
      </c>
    </row>
    <row r="413" spans="1:40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 t="shared" si="30"/>
        <v>0</v>
      </c>
      <c r="AK413" t="str">
        <f t="shared" si="31"/>
        <v>55+</v>
      </c>
      <c r="AL413" t="str">
        <f t="shared" si="32"/>
        <v>10+ yrs (Veteran)</v>
      </c>
      <c r="AM413" t="str">
        <f t="shared" si="33"/>
        <v>Very High (12K+)</v>
      </c>
      <c r="AN413" t="str">
        <f t="shared" si="34"/>
        <v>Normal</v>
      </c>
    </row>
    <row r="414" spans="1:40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 t="shared" si="30"/>
        <v>0</v>
      </c>
      <c r="AK414" t="str">
        <f t="shared" si="31"/>
        <v>45-54</v>
      </c>
      <c r="AL414" t="str">
        <f t="shared" si="32"/>
        <v>10+ yrs (Veteran)</v>
      </c>
      <c r="AM414" t="str">
        <f t="shared" si="33"/>
        <v>Mid (3K-7K)</v>
      </c>
      <c r="AN414" t="str">
        <f t="shared" si="34"/>
        <v>Normal</v>
      </c>
    </row>
    <row r="415" spans="1:40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 t="shared" si="30"/>
        <v>0</v>
      </c>
      <c r="AK415" t="str">
        <f t="shared" si="31"/>
        <v>35-44</v>
      </c>
      <c r="AL415" t="str">
        <f t="shared" si="32"/>
        <v>5-9 yrs (Senior)</v>
      </c>
      <c r="AM415" t="str">
        <f t="shared" si="33"/>
        <v>Mid (3K-7K)</v>
      </c>
      <c r="AN415" t="str">
        <f t="shared" si="34"/>
        <v>Normal</v>
      </c>
    </row>
    <row r="416" spans="1:40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 t="shared" si="30"/>
        <v>1</v>
      </c>
      <c r="AK416" t="str">
        <f t="shared" si="31"/>
        <v>Under 25</v>
      </c>
      <c r="AL416" t="str">
        <f t="shared" si="32"/>
        <v>5-9 yrs (Senior)</v>
      </c>
      <c r="AM416" t="str">
        <f t="shared" si="33"/>
        <v>Mid (3K-7K)</v>
      </c>
      <c r="AN416" t="str">
        <f t="shared" si="34"/>
        <v>High Risk</v>
      </c>
    </row>
    <row r="417" spans="1:40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 t="shared" si="30"/>
        <v>1</v>
      </c>
      <c r="AK417" t="str">
        <f t="shared" si="31"/>
        <v>25-34</v>
      </c>
      <c r="AL417" t="str">
        <f t="shared" si="32"/>
        <v>2-4 yrs (Mid)</v>
      </c>
      <c r="AM417" t="str">
        <f t="shared" si="33"/>
        <v>Low (&lt;3K)</v>
      </c>
      <c r="AN417" t="str">
        <f t="shared" si="34"/>
        <v>Normal</v>
      </c>
    </row>
    <row r="418" spans="1:40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 t="shared" si="30"/>
        <v>0</v>
      </c>
      <c r="AK418" t="str">
        <f t="shared" si="31"/>
        <v>35-44</v>
      </c>
      <c r="AL418" t="str">
        <f t="shared" si="32"/>
        <v>0-1 yrs (New)</v>
      </c>
      <c r="AM418" t="str">
        <f t="shared" si="33"/>
        <v>Low (&lt;3K)</v>
      </c>
      <c r="AN418" t="str">
        <f t="shared" si="34"/>
        <v>Normal</v>
      </c>
    </row>
    <row r="419" spans="1:40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 t="shared" si="30"/>
        <v>0</v>
      </c>
      <c r="AK419" t="str">
        <f t="shared" si="31"/>
        <v>35-44</v>
      </c>
      <c r="AL419" t="str">
        <f t="shared" si="32"/>
        <v>10+ yrs (Veteran)</v>
      </c>
      <c r="AM419" t="str">
        <f t="shared" si="33"/>
        <v>Very High (12K+)</v>
      </c>
      <c r="AN419" t="str">
        <f t="shared" si="34"/>
        <v>Normal</v>
      </c>
    </row>
    <row r="420" spans="1:40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 t="shared" si="30"/>
        <v>0</v>
      </c>
      <c r="AK420" t="str">
        <f t="shared" si="31"/>
        <v>25-34</v>
      </c>
      <c r="AL420" t="str">
        <f t="shared" si="32"/>
        <v>2-4 yrs (Mid)</v>
      </c>
      <c r="AM420" t="str">
        <f t="shared" si="33"/>
        <v>Low (&lt;3K)</v>
      </c>
      <c r="AN420" t="str">
        <f t="shared" si="34"/>
        <v>Normal</v>
      </c>
    </row>
    <row r="421" spans="1:40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 t="shared" si="30"/>
        <v>0</v>
      </c>
      <c r="AK421" t="str">
        <f t="shared" si="31"/>
        <v>25-34</v>
      </c>
      <c r="AL421" t="str">
        <f t="shared" si="32"/>
        <v>5-9 yrs (Senior)</v>
      </c>
      <c r="AM421" t="str">
        <f t="shared" si="33"/>
        <v>Low (&lt;3K)</v>
      </c>
      <c r="AN421" t="str">
        <f t="shared" si="34"/>
        <v>Normal</v>
      </c>
    </row>
    <row r="422" spans="1:40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 t="shared" si="30"/>
        <v>0</v>
      </c>
      <c r="AK422" t="str">
        <f t="shared" si="31"/>
        <v>25-34</v>
      </c>
      <c r="AL422" t="str">
        <f t="shared" si="32"/>
        <v>10+ yrs (Veteran)</v>
      </c>
      <c r="AM422" t="str">
        <f t="shared" si="33"/>
        <v>High (7K-12K)</v>
      </c>
      <c r="AN422" t="str">
        <f t="shared" si="34"/>
        <v>Normal</v>
      </c>
    </row>
    <row r="423" spans="1:40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 t="shared" si="30"/>
        <v>1</v>
      </c>
      <c r="AK423" t="str">
        <f t="shared" si="31"/>
        <v>25-34</v>
      </c>
      <c r="AL423" t="str">
        <f t="shared" si="32"/>
        <v>2-4 yrs (Mid)</v>
      </c>
      <c r="AM423" t="str">
        <f t="shared" si="33"/>
        <v>Low (&lt;3K)</v>
      </c>
      <c r="AN423" t="str">
        <f t="shared" si="34"/>
        <v>Normal</v>
      </c>
    </row>
    <row r="424" spans="1:40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 t="shared" si="30"/>
        <v>1</v>
      </c>
      <c r="AK424" t="str">
        <f t="shared" si="31"/>
        <v>Under 25</v>
      </c>
      <c r="AL424" t="str">
        <f t="shared" si="32"/>
        <v>0-1 yrs (New)</v>
      </c>
      <c r="AM424" t="str">
        <f t="shared" si="33"/>
        <v>Low (&lt;3K)</v>
      </c>
      <c r="AN424" t="str">
        <f t="shared" si="34"/>
        <v>Normal</v>
      </c>
    </row>
    <row r="425" spans="1:40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 t="shared" si="30"/>
        <v>0</v>
      </c>
      <c r="AK425" t="str">
        <f t="shared" si="31"/>
        <v>25-34</v>
      </c>
      <c r="AL425" t="str">
        <f t="shared" si="32"/>
        <v>5-9 yrs (Senior)</v>
      </c>
      <c r="AM425" t="str">
        <f t="shared" si="33"/>
        <v>High (7K-12K)</v>
      </c>
      <c r="AN425" t="str">
        <f t="shared" si="34"/>
        <v>Normal</v>
      </c>
    </row>
    <row r="426" spans="1:40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 t="shared" si="30"/>
        <v>0</v>
      </c>
      <c r="AK426" t="str">
        <f t="shared" si="31"/>
        <v>55+</v>
      </c>
      <c r="AL426" t="str">
        <f t="shared" si="32"/>
        <v>0-1 yrs (New)</v>
      </c>
      <c r="AM426" t="str">
        <f t="shared" si="33"/>
        <v>Very High (12K+)</v>
      </c>
      <c r="AN426" t="str">
        <f t="shared" si="34"/>
        <v>Normal</v>
      </c>
    </row>
    <row r="427" spans="1:40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 t="shared" si="30"/>
        <v>0</v>
      </c>
      <c r="AK427" t="str">
        <f t="shared" si="31"/>
        <v>45-54</v>
      </c>
      <c r="AL427" t="str">
        <f t="shared" si="32"/>
        <v>10+ yrs (Veteran)</v>
      </c>
      <c r="AM427" t="str">
        <f t="shared" si="33"/>
        <v>Very High (12K+)</v>
      </c>
      <c r="AN427" t="str">
        <f t="shared" si="34"/>
        <v>Normal</v>
      </c>
    </row>
    <row r="428" spans="1:40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 t="shared" si="30"/>
        <v>0</v>
      </c>
      <c r="AK428" t="str">
        <f t="shared" si="31"/>
        <v>25-34</v>
      </c>
      <c r="AL428" t="str">
        <f t="shared" si="32"/>
        <v>10+ yrs (Veteran)</v>
      </c>
      <c r="AM428" t="str">
        <f t="shared" si="33"/>
        <v>Low (&lt;3K)</v>
      </c>
      <c r="AN428" t="str">
        <f t="shared" si="34"/>
        <v>Normal</v>
      </c>
    </row>
    <row r="429" spans="1:40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 t="shared" si="30"/>
        <v>0</v>
      </c>
      <c r="AK429" t="str">
        <f t="shared" si="31"/>
        <v>55+</v>
      </c>
      <c r="AL429" t="str">
        <f t="shared" si="32"/>
        <v>10+ yrs (Veteran)</v>
      </c>
      <c r="AM429" t="str">
        <f t="shared" si="33"/>
        <v>High (7K-12K)</v>
      </c>
      <c r="AN429" t="str">
        <f t="shared" si="34"/>
        <v>Normal</v>
      </c>
    </row>
    <row r="430" spans="1:40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 t="shared" si="30"/>
        <v>0</v>
      </c>
      <c r="AK430" t="str">
        <f t="shared" si="31"/>
        <v>45-54</v>
      </c>
      <c r="AL430" t="str">
        <f t="shared" si="32"/>
        <v>5-9 yrs (Senior)</v>
      </c>
      <c r="AM430" t="str">
        <f t="shared" si="33"/>
        <v>Mid (3K-7K)</v>
      </c>
      <c r="AN430" t="str">
        <f t="shared" si="34"/>
        <v>Normal</v>
      </c>
    </row>
    <row r="431" spans="1:40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 t="shared" si="30"/>
        <v>0</v>
      </c>
      <c r="AK431" t="str">
        <f t="shared" si="31"/>
        <v>45-54</v>
      </c>
      <c r="AL431" t="str">
        <f t="shared" si="32"/>
        <v>2-4 yrs (Mid)</v>
      </c>
      <c r="AM431" t="str">
        <f t="shared" si="33"/>
        <v>Very High (12K+)</v>
      </c>
      <c r="AN431" t="str">
        <f t="shared" si="34"/>
        <v>Normal</v>
      </c>
    </row>
    <row r="432" spans="1:40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 t="shared" si="30"/>
        <v>0</v>
      </c>
      <c r="AK432" t="str">
        <f t="shared" si="31"/>
        <v>35-44</v>
      </c>
      <c r="AL432" t="str">
        <f t="shared" si="32"/>
        <v>5-9 yrs (Senior)</v>
      </c>
      <c r="AM432" t="str">
        <f t="shared" si="33"/>
        <v>Mid (3K-7K)</v>
      </c>
      <c r="AN432" t="str">
        <f t="shared" si="34"/>
        <v>Normal</v>
      </c>
    </row>
    <row r="433" spans="1:40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 t="shared" si="30"/>
        <v>0</v>
      </c>
      <c r="AK433" t="str">
        <f t="shared" si="31"/>
        <v>45-54</v>
      </c>
      <c r="AL433" t="str">
        <f t="shared" si="32"/>
        <v>0-1 yrs (New)</v>
      </c>
      <c r="AM433" t="str">
        <f t="shared" si="33"/>
        <v>Mid (3K-7K)</v>
      </c>
      <c r="AN433" t="str">
        <f t="shared" si="34"/>
        <v>Normal</v>
      </c>
    </row>
    <row r="434" spans="1:40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 t="shared" si="30"/>
        <v>0</v>
      </c>
      <c r="AK434" t="str">
        <f t="shared" si="31"/>
        <v>25-34</v>
      </c>
      <c r="AL434" t="str">
        <f t="shared" si="32"/>
        <v>5-9 yrs (Senior)</v>
      </c>
      <c r="AM434" t="str">
        <f t="shared" si="33"/>
        <v>Low (&lt;3K)</v>
      </c>
      <c r="AN434" t="str">
        <f t="shared" si="34"/>
        <v>Normal</v>
      </c>
    </row>
    <row r="435" spans="1:40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 t="shared" si="30"/>
        <v>0</v>
      </c>
      <c r="AK435" t="str">
        <f t="shared" si="31"/>
        <v>45-54</v>
      </c>
      <c r="AL435" t="str">
        <f t="shared" si="32"/>
        <v>2-4 yrs (Mid)</v>
      </c>
      <c r="AM435" t="str">
        <f t="shared" si="33"/>
        <v>High (7K-12K)</v>
      </c>
      <c r="AN435" t="str">
        <f t="shared" si="34"/>
        <v>Normal</v>
      </c>
    </row>
    <row r="436" spans="1:40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 t="shared" si="30"/>
        <v>0</v>
      </c>
      <c r="AK436" t="str">
        <f t="shared" si="31"/>
        <v>25-34</v>
      </c>
      <c r="AL436" t="str">
        <f t="shared" si="32"/>
        <v>10+ yrs (Veteran)</v>
      </c>
      <c r="AM436" t="str">
        <f t="shared" si="33"/>
        <v>High (7K-12K)</v>
      </c>
      <c r="AN436" t="str">
        <f t="shared" si="34"/>
        <v>Normal</v>
      </c>
    </row>
    <row r="437" spans="1:40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 t="shared" si="30"/>
        <v>1</v>
      </c>
      <c r="AK437" t="str">
        <f t="shared" si="31"/>
        <v>25-34</v>
      </c>
      <c r="AL437" t="str">
        <f t="shared" si="32"/>
        <v>5-9 yrs (Senior)</v>
      </c>
      <c r="AM437" t="str">
        <f t="shared" si="33"/>
        <v>Very High (12K+)</v>
      </c>
      <c r="AN437" t="str">
        <f t="shared" si="34"/>
        <v>Normal</v>
      </c>
    </row>
    <row r="438" spans="1:40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 t="shared" si="30"/>
        <v>1</v>
      </c>
      <c r="AK438" t="str">
        <f t="shared" si="31"/>
        <v>25-34</v>
      </c>
      <c r="AL438" t="str">
        <f t="shared" si="32"/>
        <v>2-4 yrs (Mid)</v>
      </c>
      <c r="AM438" t="str">
        <f t="shared" si="33"/>
        <v>Mid (3K-7K)</v>
      </c>
      <c r="AN438" t="str">
        <f t="shared" si="34"/>
        <v>Normal</v>
      </c>
    </row>
    <row r="439" spans="1:40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 t="shared" si="30"/>
        <v>0</v>
      </c>
      <c r="AK439" t="str">
        <f t="shared" si="31"/>
        <v>25-34</v>
      </c>
      <c r="AL439" t="str">
        <f t="shared" si="32"/>
        <v>2-4 yrs (Mid)</v>
      </c>
      <c r="AM439" t="str">
        <f t="shared" si="33"/>
        <v>Low (&lt;3K)</v>
      </c>
      <c r="AN439" t="str">
        <f t="shared" si="34"/>
        <v>Normal</v>
      </c>
    </row>
    <row r="440" spans="1:40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 t="shared" si="30"/>
        <v>0</v>
      </c>
      <c r="AK440" t="str">
        <f t="shared" si="31"/>
        <v>35-44</v>
      </c>
      <c r="AL440" t="str">
        <f t="shared" si="32"/>
        <v>5-9 yrs (Senior)</v>
      </c>
      <c r="AM440" t="str">
        <f t="shared" si="33"/>
        <v>High (7K-12K)</v>
      </c>
      <c r="AN440" t="str">
        <f t="shared" si="34"/>
        <v>Normal</v>
      </c>
    </row>
    <row r="441" spans="1:40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 t="shared" si="30"/>
        <v>1</v>
      </c>
      <c r="AK441" t="str">
        <f t="shared" si="31"/>
        <v>25-34</v>
      </c>
      <c r="AL441" t="str">
        <f t="shared" si="32"/>
        <v>0-1 yrs (New)</v>
      </c>
      <c r="AM441" t="str">
        <f t="shared" si="33"/>
        <v>High (7K-12K)</v>
      </c>
      <c r="AN441" t="str">
        <f t="shared" si="34"/>
        <v>Normal</v>
      </c>
    </row>
    <row r="442" spans="1:40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 t="shared" si="30"/>
        <v>1</v>
      </c>
      <c r="AK442" t="str">
        <f t="shared" si="31"/>
        <v>25-34</v>
      </c>
      <c r="AL442" t="str">
        <f t="shared" si="32"/>
        <v>2-4 yrs (Mid)</v>
      </c>
      <c r="AM442" t="str">
        <f t="shared" si="33"/>
        <v>High (7K-12K)</v>
      </c>
      <c r="AN442" t="str">
        <f t="shared" si="34"/>
        <v>High Risk</v>
      </c>
    </row>
    <row r="443" spans="1:40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 t="shared" si="30"/>
        <v>0</v>
      </c>
      <c r="AK443" t="str">
        <f t="shared" si="31"/>
        <v>35-44</v>
      </c>
      <c r="AL443" t="str">
        <f t="shared" si="32"/>
        <v>2-4 yrs (Mid)</v>
      </c>
      <c r="AM443" t="str">
        <f t="shared" si="33"/>
        <v>Low (&lt;3K)</v>
      </c>
      <c r="AN443" t="str">
        <f t="shared" si="34"/>
        <v>Normal</v>
      </c>
    </row>
    <row r="444" spans="1:40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 t="shared" si="30"/>
        <v>0</v>
      </c>
      <c r="AK444" t="str">
        <f t="shared" si="31"/>
        <v>35-44</v>
      </c>
      <c r="AL444" t="str">
        <f t="shared" si="32"/>
        <v>10+ yrs (Veteran)</v>
      </c>
      <c r="AM444" t="str">
        <f t="shared" si="33"/>
        <v>High (7K-12K)</v>
      </c>
      <c r="AN444" t="str">
        <f t="shared" si="34"/>
        <v>Normal</v>
      </c>
    </row>
    <row r="445" spans="1:40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 t="shared" si="30"/>
        <v>1</v>
      </c>
      <c r="AK445" t="str">
        <f t="shared" si="31"/>
        <v>Under 25</v>
      </c>
      <c r="AL445" t="str">
        <f t="shared" si="32"/>
        <v>2-4 yrs (Mid)</v>
      </c>
      <c r="AM445" t="str">
        <f t="shared" si="33"/>
        <v>Mid (3K-7K)</v>
      </c>
      <c r="AN445" t="str">
        <f t="shared" si="34"/>
        <v>Normal</v>
      </c>
    </row>
    <row r="446" spans="1:40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 t="shared" si="30"/>
        <v>0</v>
      </c>
      <c r="AK446" t="str">
        <f t="shared" si="31"/>
        <v>45-54</v>
      </c>
      <c r="AL446" t="str">
        <f t="shared" si="32"/>
        <v>5-9 yrs (Senior)</v>
      </c>
      <c r="AM446" t="str">
        <f t="shared" si="33"/>
        <v>Mid (3K-7K)</v>
      </c>
      <c r="AN446" t="str">
        <f t="shared" si="34"/>
        <v>Normal</v>
      </c>
    </row>
    <row r="447" spans="1:40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 t="shared" si="30"/>
        <v>0</v>
      </c>
      <c r="AK447" t="str">
        <f t="shared" si="31"/>
        <v>55+</v>
      </c>
      <c r="AL447" t="str">
        <f t="shared" si="32"/>
        <v>10+ yrs (Veteran)</v>
      </c>
      <c r="AM447" t="str">
        <f t="shared" si="33"/>
        <v>Very High (12K+)</v>
      </c>
      <c r="AN447" t="str">
        <f t="shared" si="34"/>
        <v>Normal</v>
      </c>
    </row>
    <row r="448" spans="1:40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 t="shared" si="30"/>
        <v>0</v>
      </c>
      <c r="AK448" t="str">
        <f t="shared" si="31"/>
        <v>35-44</v>
      </c>
      <c r="AL448" t="str">
        <f t="shared" si="32"/>
        <v>10+ yrs (Veteran)</v>
      </c>
      <c r="AM448" t="str">
        <f t="shared" si="33"/>
        <v>Mid (3K-7K)</v>
      </c>
      <c r="AN448" t="str">
        <f t="shared" si="34"/>
        <v>Normal</v>
      </c>
    </row>
    <row r="449" spans="1:40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 t="shared" si="30"/>
        <v>0</v>
      </c>
      <c r="AK449" t="str">
        <f t="shared" si="31"/>
        <v>35-44</v>
      </c>
      <c r="AL449" t="str">
        <f t="shared" si="32"/>
        <v>10+ yrs (Veteran)</v>
      </c>
      <c r="AM449" t="str">
        <f t="shared" si="33"/>
        <v>Mid (3K-7K)</v>
      </c>
      <c r="AN449" t="str">
        <f t="shared" si="34"/>
        <v>Normal</v>
      </c>
    </row>
    <row r="450" spans="1:40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 t="shared" si="30"/>
        <v>0</v>
      </c>
      <c r="AK450" t="str">
        <f t="shared" si="31"/>
        <v>35-44</v>
      </c>
      <c r="AL450" t="str">
        <f t="shared" si="32"/>
        <v>10+ yrs (Veteran)</v>
      </c>
      <c r="AM450" t="str">
        <f t="shared" si="33"/>
        <v>Very High (12K+)</v>
      </c>
      <c r="AN450" t="str">
        <f t="shared" si="34"/>
        <v>Normal</v>
      </c>
    </row>
    <row r="451" spans="1:40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 t="shared" ref="AJ451:AJ514" si="35">IF(B451="Yes", 1, 0)</f>
        <v>0</v>
      </c>
      <c r="AK451" t="str">
        <f t="shared" ref="AK451:AK514" si="36">IF(A451&lt;25, "Under 25", IF(A451&lt;35, "25-34", IF(A451&lt;45, "35-44", IF(A451&lt;55, "45-54", "55+"))))</f>
        <v>35-44</v>
      </c>
      <c r="AL451" t="str">
        <f t="shared" ref="AL451:AL514" si="37">IF(AF451&lt;2, "0-1 yrs (New)", IF(AF451&lt;5, "2-4 yrs (Mid)", IF(AF451&lt;10, "5-9 yrs (Senior)", "10+ yrs (Veteran)")))</f>
        <v>5-9 yrs (Senior)</v>
      </c>
      <c r="AM451" t="str">
        <f t="shared" ref="AM451:AM514" si="38">IF(S451&lt;3000, "Low (&lt;3K)", IF(S451&lt;7000, "Mid (3K-7K)", IF(S451&lt;12000, "High (7K-12K)", "Very High (12K+)")))</f>
        <v>Mid (3K-7K)</v>
      </c>
      <c r="AN451" t="str">
        <f t="shared" ref="AN451:AN514" si="39">IF(AND(W451="Yes", Q451&lt;=2), "High Risk", "Normal")</f>
        <v>Normal</v>
      </c>
    </row>
    <row r="452" spans="1:40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 t="shared" si="35"/>
        <v>0</v>
      </c>
      <c r="AK452" t="str">
        <f t="shared" si="36"/>
        <v>25-34</v>
      </c>
      <c r="AL452" t="str">
        <f t="shared" si="37"/>
        <v>5-9 yrs (Senior)</v>
      </c>
      <c r="AM452" t="str">
        <f t="shared" si="38"/>
        <v>Mid (3K-7K)</v>
      </c>
      <c r="AN452" t="str">
        <f t="shared" si="39"/>
        <v>Normal</v>
      </c>
    </row>
    <row r="453" spans="1:40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 t="shared" si="35"/>
        <v>0</v>
      </c>
      <c r="AK453" t="str">
        <f t="shared" si="36"/>
        <v>35-44</v>
      </c>
      <c r="AL453" t="str">
        <f t="shared" si="37"/>
        <v>10+ yrs (Veteran)</v>
      </c>
      <c r="AM453" t="str">
        <f t="shared" si="38"/>
        <v>High (7K-12K)</v>
      </c>
      <c r="AN453" t="str">
        <f t="shared" si="39"/>
        <v>High Risk</v>
      </c>
    </row>
    <row r="454" spans="1:40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 t="shared" si="35"/>
        <v>0</v>
      </c>
      <c r="AK454" t="str">
        <f t="shared" si="36"/>
        <v>45-54</v>
      </c>
      <c r="AL454" t="str">
        <f t="shared" si="37"/>
        <v>5-9 yrs (Senior)</v>
      </c>
      <c r="AM454" t="str">
        <f t="shared" si="38"/>
        <v>Mid (3K-7K)</v>
      </c>
      <c r="AN454" t="str">
        <f t="shared" si="39"/>
        <v>Normal</v>
      </c>
    </row>
    <row r="455" spans="1:40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 t="shared" si="35"/>
        <v>1</v>
      </c>
      <c r="AK455" t="str">
        <f t="shared" si="36"/>
        <v>25-34</v>
      </c>
      <c r="AL455" t="str">
        <f t="shared" si="37"/>
        <v>5-9 yrs (Senior)</v>
      </c>
      <c r="AM455" t="str">
        <f t="shared" si="38"/>
        <v>Low (&lt;3K)</v>
      </c>
      <c r="AN455" t="str">
        <f t="shared" si="39"/>
        <v>Normal</v>
      </c>
    </row>
    <row r="456" spans="1:40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 t="shared" si="35"/>
        <v>0</v>
      </c>
      <c r="AK456" t="str">
        <f t="shared" si="36"/>
        <v>25-34</v>
      </c>
      <c r="AL456" t="str">
        <f t="shared" si="37"/>
        <v>2-4 yrs (Mid)</v>
      </c>
      <c r="AM456" t="str">
        <f t="shared" si="38"/>
        <v>Mid (3K-7K)</v>
      </c>
      <c r="AN456" t="str">
        <f t="shared" si="39"/>
        <v>Normal</v>
      </c>
    </row>
    <row r="457" spans="1:40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 t="shared" si="35"/>
        <v>0</v>
      </c>
      <c r="AK457" t="str">
        <f t="shared" si="36"/>
        <v>25-34</v>
      </c>
      <c r="AL457" t="str">
        <f t="shared" si="37"/>
        <v>5-9 yrs (Senior)</v>
      </c>
      <c r="AM457" t="str">
        <f t="shared" si="38"/>
        <v>Very High (12K+)</v>
      </c>
      <c r="AN457" t="str">
        <f t="shared" si="39"/>
        <v>Normal</v>
      </c>
    </row>
    <row r="458" spans="1:40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 t="shared" si="35"/>
        <v>0</v>
      </c>
      <c r="AK458" t="str">
        <f t="shared" si="36"/>
        <v>25-34</v>
      </c>
      <c r="AL458" t="str">
        <f t="shared" si="37"/>
        <v>5-9 yrs (Senior)</v>
      </c>
      <c r="AM458" t="str">
        <f t="shared" si="38"/>
        <v>High (7K-12K)</v>
      </c>
      <c r="AN458" t="str">
        <f t="shared" si="39"/>
        <v>Normal</v>
      </c>
    </row>
    <row r="459" spans="1:40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 t="shared" si="35"/>
        <v>1</v>
      </c>
      <c r="AK459" t="str">
        <f t="shared" si="36"/>
        <v>Under 25</v>
      </c>
      <c r="AL459" t="str">
        <f t="shared" si="37"/>
        <v>0-1 yrs (New)</v>
      </c>
      <c r="AM459" t="str">
        <f t="shared" si="38"/>
        <v>Low (&lt;3K)</v>
      </c>
      <c r="AN459" t="str">
        <f t="shared" si="39"/>
        <v>High Risk</v>
      </c>
    </row>
    <row r="460" spans="1:40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 t="shared" si="35"/>
        <v>0</v>
      </c>
      <c r="AK460" t="str">
        <f t="shared" si="36"/>
        <v>35-44</v>
      </c>
      <c r="AL460" t="str">
        <f t="shared" si="37"/>
        <v>0-1 yrs (New)</v>
      </c>
      <c r="AM460" t="str">
        <f t="shared" si="38"/>
        <v>High (7K-12K)</v>
      </c>
      <c r="AN460" t="str">
        <f t="shared" si="39"/>
        <v>Normal</v>
      </c>
    </row>
    <row r="461" spans="1:40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 t="shared" si="35"/>
        <v>0</v>
      </c>
      <c r="AK461" t="str">
        <f t="shared" si="36"/>
        <v>35-44</v>
      </c>
      <c r="AL461" t="str">
        <f t="shared" si="37"/>
        <v>5-9 yrs (Senior)</v>
      </c>
      <c r="AM461" t="str">
        <f t="shared" si="38"/>
        <v>Mid (3K-7K)</v>
      </c>
      <c r="AN461" t="str">
        <f t="shared" si="39"/>
        <v>Normal</v>
      </c>
    </row>
    <row r="462" spans="1:40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 t="shared" si="35"/>
        <v>0</v>
      </c>
      <c r="AK462" t="str">
        <f t="shared" si="36"/>
        <v>25-34</v>
      </c>
      <c r="AL462" t="str">
        <f t="shared" si="37"/>
        <v>0-1 yrs (New)</v>
      </c>
      <c r="AM462" t="str">
        <f t="shared" si="38"/>
        <v>Mid (3K-7K)</v>
      </c>
      <c r="AN462" t="str">
        <f t="shared" si="39"/>
        <v>Normal</v>
      </c>
    </row>
    <row r="463" spans="1:40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 t="shared" si="35"/>
        <v>0</v>
      </c>
      <c r="AK463" t="str">
        <f t="shared" si="36"/>
        <v>35-44</v>
      </c>
      <c r="AL463" t="str">
        <f t="shared" si="37"/>
        <v>5-9 yrs (Senior)</v>
      </c>
      <c r="AM463" t="str">
        <f t="shared" si="38"/>
        <v>Mid (3K-7K)</v>
      </c>
      <c r="AN463" t="str">
        <f t="shared" si="39"/>
        <v>Normal</v>
      </c>
    </row>
    <row r="464" spans="1:40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 t="shared" si="35"/>
        <v>0</v>
      </c>
      <c r="AK464" t="str">
        <f t="shared" si="36"/>
        <v>25-34</v>
      </c>
      <c r="AL464" t="str">
        <f t="shared" si="37"/>
        <v>10+ yrs (Veteran)</v>
      </c>
      <c r="AM464" t="str">
        <f t="shared" si="38"/>
        <v>Mid (3K-7K)</v>
      </c>
      <c r="AN464" t="str">
        <f t="shared" si="39"/>
        <v>Normal</v>
      </c>
    </row>
    <row r="465" spans="1:40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 t="shared" si="35"/>
        <v>1</v>
      </c>
      <c r="AK465" t="str">
        <f t="shared" si="36"/>
        <v>25-34</v>
      </c>
      <c r="AL465" t="str">
        <f t="shared" si="37"/>
        <v>0-1 yrs (New)</v>
      </c>
      <c r="AM465" t="str">
        <f t="shared" si="38"/>
        <v>Low (&lt;3K)</v>
      </c>
      <c r="AN465" t="str">
        <f t="shared" si="39"/>
        <v>Normal</v>
      </c>
    </row>
    <row r="466" spans="1:40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 t="shared" si="35"/>
        <v>0</v>
      </c>
      <c r="AK466" t="str">
        <f t="shared" si="36"/>
        <v>35-44</v>
      </c>
      <c r="AL466" t="str">
        <f t="shared" si="37"/>
        <v>5-9 yrs (Senior)</v>
      </c>
      <c r="AM466" t="str">
        <f t="shared" si="38"/>
        <v>High (7K-12K)</v>
      </c>
      <c r="AN466" t="str">
        <f t="shared" si="39"/>
        <v>Normal</v>
      </c>
    </row>
    <row r="467" spans="1:40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 t="shared" si="35"/>
        <v>0</v>
      </c>
      <c r="AK467" t="str">
        <f t="shared" si="36"/>
        <v>45-54</v>
      </c>
      <c r="AL467" t="str">
        <f t="shared" si="37"/>
        <v>2-4 yrs (Mid)</v>
      </c>
      <c r="AM467" t="str">
        <f t="shared" si="38"/>
        <v>High (7K-12K)</v>
      </c>
      <c r="AN467" t="str">
        <f t="shared" si="39"/>
        <v>Normal</v>
      </c>
    </row>
    <row r="468" spans="1:40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 t="shared" si="35"/>
        <v>0</v>
      </c>
      <c r="AK468" t="str">
        <f t="shared" si="36"/>
        <v>35-44</v>
      </c>
      <c r="AL468" t="str">
        <f t="shared" si="37"/>
        <v>10+ yrs (Veteran)</v>
      </c>
      <c r="AM468" t="str">
        <f t="shared" si="38"/>
        <v>Very High (12K+)</v>
      </c>
      <c r="AN468" t="str">
        <f t="shared" si="39"/>
        <v>Normal</v>
      </c>
    </row>
    <row r="469" spans="1:40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 t="shared" si="35"/>
        <v>0</v>
      </c>
      <c r="AK469" t="str">
        <f t="shared" si="36"/>
        <v>35-44</v>
      </c>
      <c r="AL469" t="str">
        <f t="shared" si="37"/>
        <v>5-9 yrs (Senior)</v>
      </c>
      <c r="AM469" t="str">
        <f t="shared" si="38"/>
        <v>High (7K-12K)</v>
      </c>
      <c r="AN469" t="str">
        <f t="shared" si="39"/>
        <v>Normal</v>
      </c>
    </row>
    <row r="470" spans="1:40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 t="shared" si="35"/>
        <v>0</v>
      </c>
      <c r="AK470" t="str">
        <f t="shared" si="36"/>
        <v>45-54</v>
      </c>
      <c r="AL470" t="str">
        <f t="shared" si="37"/>
        <v>10+ yrs (Veteran)</v>
      </c>
      <c r="AM470" t="str">
        <f t="shared" si="38"/>
        <v>Mid (3K-7K)</v>
      </c>
      <c r="AN470" t="str">
        <f t="shared" si="39"/>
        <v>High Risk</v>
      </c>
    </row>
    <row r="471" spans="1:40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 t="shared" si="35"/>
        <v>1</v>
      </c>
      <c r="AK471" t="str">
        <f t="shared" si="36"/>
        <v>25-34</v>
      </c>
      <c r="AL471" t="str">
        <f t="shared" si="37"/>
        <v>2-4 yrs (Mid)</v>
      </c>
      <c r="AM471" t="str">
        <f t="shared" si="38"/>
        <v>Mid (3K-7K)</v>
      </c>
      <c r="AN471" t="str">
        <f t="shared" si="39"/>
        <v>Normal</v>
      </c>
    </row>
    <row r="472" spans="1:40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 t="shared" si="35"/>
        <v>0</v>
      </c>
      <c r="AK472" t="str">
        <f t="shared" si="36"/>
        <v>Under 25</v>
      </c>
      <c r="AL472" t="str">
        <f t="shared" si="37"/>
        <v>2-4 yrs (Mid)</v>
      </c>
      <c r="AM472" t="str">
        <f t="shared" si="38"/>
        <v>Low (&lt;3K)</v>
      </c>
      <c r="AN472" t="str">
        <f t="shared" si="39"/>
        <v>Normal</v>
      </c>
    </row>
    <row r="473" spans="1:40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 t="shared" si="35"/>
        <v>0</v>
      </c>
      <c r="AK473" t="str">
        <f t="shared" si="36"/>
        <v>35-44</v>
      </c>
      <c r="AL473" t="str">
        <f t="shared" si="37"/>
        <v>0-1 yrs (New)</v>
      </c>
      <c r="AM473" t="str">
        <f t="shared" si="38"/>
        <v>High (7K-12K)</v>
      </c>
      <c r="AN473" t="str">
        <f t="shared" si="39"/>
        <v>Normal</v>
      </c>
    </row>
    <row r="474" spans="1:40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 t="shared" si="35"/>
        <v>0</v>
      </c>
      <c r="AK474" t="str">
        <f t="shared" si="36"/>
        <v>35-44</v>
      </c>
      <c r="AL474" t="str">
        <f t="shared" si="37"/>
        <v>5-9 yrs (Senior)</v>
      </c>
      <c r="AM474" t="str">
        <f t="shared" si="38"/>
        <v>Mid (3K-7K)</v>
      </c>
      <c r="AN474" t="str">
        <f t="shared" si="39"/>
        <v>Normal</v>
      </c>
    </row>
    <row r="475" spans="1:40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 t="shared" si="35"/>
        <v>0</v>
      </c>
      <c r="AK475" t="str">
        <f t="shared" si="36"/>
        <v>45-54</v>
      </c>
      <c r="AL475" t="str">
        <f t="shared" si="37"/>
        <v>10+ yrs (Veteran)</v>
      </c>
      <c r="AM475" t="str">
        <f t="shared" si="38"/>
        <v>Very High (12K+)</v>
      </c>
      <c r="AN475" t="str">
        <f t="shared" si="39"/>
        <v>Normal</v>
      </c>
    </row>
    <row r="476" spans="1:40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 t="shared" si="35"/>
        <v>0</v>
      </c>
      <c r="AK476" t="str">
        <f t="shared" si="36"/>
        <v>Under 25</v>
      </c>
      <c r="AL476" t="str">
        <f t="shared" si="37"/>
        <v>5-9 yrs (Senior)</v>
      </c>
      <c r="AM476" t="str">
        <f t="shared" si="38"/>
        <v>Low (&lt;3K)</v>
      </c>
      <c r="AN476" t="str">
        <f t="shared" si="39"/>
        <v>Normal</v>
      </c>
    </row>
    <row r="477" spans="1:40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 t="shared" si="35"/>
        <v>0</v>
      </c>
      <c r="AK477" t="str">
        <f t="shared" si="36"/>
        <v>25-34</v>
      </c>
      <c r="AL477" t="str">
        <f t="shared" si="37"/>
        <v>5-9 yrs (Senior)</v>
      </c>
      <c r="AM477" t="str">
        <f t="shared" si="38"/>
        <v>Mid (3K-7K)</v>
      </c>
      <c r="AN477" t="str">
        <f t="shared" si="39"/>
        <v>Normal</v>
      </c>
    </row>
    <row r="478" spans="1:40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 t="shared" si="35"/>
        <v>0</v>
      </c>
      <c r="AK478" t="str">
        <f t="shared" si="36"/>
        <v>Under 25</v>
      </c>
      <c r="AL478" t="str">
        <f t="shared" si="37"/>
        <v>0-1 yrs (New)</v>
      </c>
      <c r="AM478" t="str">
        <f t="shared" si="38"/>
        <v>Low (&lt;3K)</v>
      </c>
      <c r="AN478" t="str">
        <f t="shared" si="39"/>
        <v>Normal</v>
      </c>
    </row>
    <row r="479" spans="1:40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 t="shared" si="35"/>
        <v>0</v>
      </c>
      <c r="AK479" t="str">
        <f t="shared" si="36"/>
        <v>45-54</v>
      </c>
      <c r="AL479" t="str">
        <f t="shared" si="37"/>
        <v>10+ yrs (Veteran)</v>
      </c>
      <c r="AM479" t="str">
        <f t="shared" si="38"/>
        <v>Very High (12K+)</v>
      </c>
      <c r="AN479" t="str">
        <f t="shared" si="39"/>
        <v>Normal</v>
      </c>
    </row>
    <row r="480" spans="1:40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 t="shared" si="35"/>
        <v>0</v>
      </c>
      <c r="AK480" t="str">
        <f t="shared" si="36"/>
        <v>25-34</v>
      </c>
      <c r="AL480" t="str">
        <f t="shared" si="37"/>
        <v>5-9 yrs (Senior)</v>
      </c>
      <c r="AM480" t="str">
        <f t="shared" si="38"/>
        <v>Low (&lt;3K)</v>
      </c>
      <c r="AN480" t="str">
        <f t="shared" si="39"/>
        <v>Normal</v>
      </c>
    </row>
    <row r="481" spans="1:40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 t="shared" si="35"/>
        <v>1</v>
      </c>
      <c r="AK481" t="str">
        <f t="shared" si="36"/>
        <v>Under 25</v>
      </c>
      <c r="AL481" t="str">
        <f t="shared" si="37"/>
        <v>5-9 yrs (Senior)</v>
      </c>
      <c r="AM481" t="str">
        <f t="shared" si="38"/>
        <v>Low (&lt;3K)</v>
      </c>
      <c r="AN481" t="str">
        <f t="shared" si="39"/>
        <v>Normal</v>
      </c>
    </row>
    <row r="482" spans="1:40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 t="shared" si="35"/>
        <v>1</v>
      </c>
      <c r="AK482" t="str">
        <f t="shared" si="36"/>
        <v>25-34</v>
      </c>
      <c r="AL482" t="str">
        <f t="shared" si="37"/>
        <v>0-1 yrs (New)</v>
      </c>
      <c r="AM482" t="str">
        <f t="shared" si="38"/>
        <v>Low (&lt;3K)</v>
      </c>
      <c r="AN482" t="str">
        <f t="shared" si="39"/>
        <v>Normal</v>
      </c>
    </row>
    <row r="483" spans="1:40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 t="shared" si="35"/>
        <v>0</v>
      </c>
      <c r="AK483" t="str">
        <f t="shared" si="36"/>
        <v>25-34</v>
      </c>
      <c r="AL483" t="str">
        <f t="shared" si="37"/>
        <v>5-9 yrs (Senior)</v>
      </c>
      <c r="AM483" t="str">
        <f t="shared" si="38"/>
        <v>Mid (3K-7K)</v>
      </c>
      <c r="AN483" t="str">
        <f t="shared" si="39"/>
        <v>Normal</v>
      </c>
    </row>
    <row r="484" spans="1:40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 t="shared" si="35"/>
        <v>1</v>
      </c>
      <c r="AK484" t="str">
        <f t="shared" si="36"/>
        <v>25-34</v>
      </c>
      <c r="AL484" t="str">
        <f t="shared" si="37"/>
        <v>2-4 yrs (Mid)</v>
      </c>
      <c r="AM484" t="str">
        <f t="shared" si="38"/>
        <v>Mid (3K-7K)</v>
      </c>
      <c r="AN484" t="str">
        <f t="shared" si="39"/>
        <v>Normal</v>
      </c>
    </row>
    <row r="485" spans="1:40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 t="shared" si="35"/>
        <v>0</v>
      </c>
      <c r="AK485" t="str">
        <f t="shared" si="36"/>
        <v>35-44</v>
      </c>
      <c r="AL485" t="str">
        <f t="shared" si="37"/>
        <v>2-4 yrs (Mid)</v>
      </c>
      <c r="AM485" t="str">
        <f t="shared" si="38"/>
        <v>Mid (3K-7K)</v>
      </c>
      <c r="AN485" t="str">
        <f t="shared" si="39"/>
        <v>Normal</v>
      </c>
    </row>
    <row r="486" spans="1:40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 t="shared" si="35"/>
        <v>0</v>
      </c>
      <c r="AK486" t="str">
        <f t="shared" si="36"/>
        <v>25-34</v>
      </c>
      <c r="AL486" t="str">
        <f t="shared" si="37"/>
        <v>5-9 yrs (Senior)</v>
      </c>
      <c r="AM486" t="str">
        <f t="shared" si="38"/>
        <v>Mid (3K-7K)</v>
      </c>
      <c r="AN486" t="str">
        <f t="shared" si="39"/>
        <v>Normal</v>
      </c>
    </row>
    <row r="487" spans="1:40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 t="shared" si="35"/>
        <v>0</v>
      </c>
      <c r="AK487" t="str">
        <f t="shared" si="36"/>
        <v>25-34</v>
      </c>
      <c r="AL487" t="str">
        <f t="shared" si="37"/>
        <v>5-9 yrs (Senior)</v>
      </c>
      <c r="AM487" t="str">
        <f t="shared" si="38"/>
        <v>Low (&lt;3K)</v>
      </c>
      <c r="AN487" t="str">
        <f t="shared" si="39"/>
        <v>Normal</v>
      </c>
    </row>
    <row r="488" spans="1:40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 t="shared" si="35"/>
        <v>0</v>
      </c>
      <c r="AK488" t="str">
        <f t="shared" si="36"/>
        <v>35-44</v>
      </c>
      <c r="AL488" t="str">
        <f t="shared" si="37"/>
        <v>2-4 yrs (Mid)</v>
      </c>
      <c r="AM488" t="str">
        <f t="shared" si="38"/>
        <v>High (7K-12K)</v>
      </c>
      <c r="AN488" t="str">
        <f t="shared" si="39"/>
        <v>Normal</v>
      </c>
    </row>
    <row r="489" spans="1:40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 t="shared" si="35"/>
        <v>0</v>
      </c>
      <c r="AK489" t="str">
        <f t="shared" si="36"/>
        <v>Under 25</v>
      </c>
      <c r="AL489" t="str">
        <f t="shared" si="37"/>
        <v>0-1 yrs (New)</v>
      </c>
      <c r="AM489" t="str">
        <f t="shared" si="38"/>
        <v>Low (&lt;3K)</v>
      </c>
      <c r="AN489" t="str">
        <f t="shared" si="39"/>
        <v>Normal</v>
      </c>
    </row>
    <row r="490" spans="1:40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 t="shared" si="35"/>
        <v>0</v>
      </c>
      <c r="AK490" t="str">
        <f t="shared" si="36"/>
        <v>35-44</v>
      </c>
      <c r="AL490" t="str">
        <f t="shared" si="37"/>
        <v>10+ yrs (Veteran)</v>
      </c>
      <c r="AM490" t="str">
        <f t="shared" si="38"/>
        <v>Mid (3K-7K)</v>
      </c>
      <c r="AN490" t="str">
        <f t="shared" si="39"/>
        <v>Normal</v>
      </c>
    </row>
    <row r="491" spans="1:40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 t="shared" si="35"/>
        <v>0</v>
      </c>
      <c r="AK491" t="str">
        <f t="shared" si="36"/>
        <v>35-44</v>
      </c>
      <c r="AL491" t="str">
        <f t="shared" si="37"/>
        <v>0-1 yrs (New)</v>
      </c>
      <c r="AM491" t="str">
        <f t="shared" si="38"/>
        <v>Very High (12K+)</v>
      </c>
      <c r="AN491" t="str">
        <f t="shared" si="39"/>
        <v>Normal</v>
      </c>
    </row>
    <row r="492" spans="1:40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 t="shared" si="35"/>
        <v>0</v>
      </c>
      <c r="AK492" t="str">
        <f t="shared" si="36"/>
        <v>35-44</v>
      </c>
      <c r="AL492" t="str">
        <f t="shared" si="37"/>
        <v>0-1 yrs (New)</v>
      </c>
      <c r="AM492" t="str">
        <f t="shared" si="38"/>
        <v>Low (&lt;3K)</v>
      </c>
      <c r="AN492" t="str">
        <f t="shared" si="39"/>
        <v>Normal</v>
      </c>
    </row>
    <row r="493" spans="1:40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 t="shared" si="35"/>
        <v>0</v>
      </c>
      <c r="AK493" t="str">
        <f t="shared" si="36"/>
        <v>35-44</v>
      </c>
      <c r="AL493" t="str">
        <f t="shared" si="37"/>
        <v>5-9 yrs (Senior)</v>
      </c>
      <c r="AM493" t="str">
        <f t="shared" si="38"/>
        <v>Mid (3K-7K)</v>
      </c>
      <c r="AN493" t="str">
        <f t="shared" si="39"/>
        <v>Normal</v>
      </c>
    </row>
    <row r="494" spans="1:40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 t="shared" si="35"/>
        <v>0</v>
      </c>
      <c r="AK494" t="str">
        <f t="shared" si="36"/>
        <v>45-54</v>
      </c>
      <c r="AL494" t="str">
        <f t="shared" si="37"/>
        <v>2-4 yrs (Mid)</v>
      </c>
      <c r="AM494" t="str">
        <f t="shared" si="38"/>
        <v>Very High (12K+)</v>
      </c>
      <c r="AN494" t="str">
        <f t="shared" si="39"/>
        <v>Normal</v>
      </c>
    </row>
    <row r="495" spans="1:40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 t="shared" si="35"/>
        <v>0</v>
      </c>
      <c r="AK495" t="str">
        <f t="shared" si="36"/>
        <v>35-44</v>
      </c>
      <c r="AL495" t="str">
        <f t="shared" si="37"/>
        <v>2-4 yrs (Mid)</v>
      </c>
      <c r="AM495" t="str">
        <f t="shared" si="38"/>
        <v>Mid (3K-7K)</v>
      </c>
      <c r="AN495" t="str">
        <f t="shared" si="39"/>
        <v>Normal</v>
      </c>
    </row>
    <row r="496" spans="1:40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 t="shared" si="35"/>
        <v>0</v>
      </c>
      <c r="AK496" t="str">
        <f t="shared" si="36"/>
        <v>25-34</v>
      </c>
      <c r="AL496" t="str">
        <f t="shared" si="37"/>
        <v>5-9 yrs (Senior)</v>
      </c>
      <c r="AM496" t="str">
        <f t="shared" si="38"/>
        <v>Low (&lt;3K)</v>
      </c>
      <c r="AN496" t="str">
        <f t="shared" si="39"/>
        <v>Normal</v>
      </c>
    </row>
    <row r="497" spans="1:40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 t="shared" si="35"/>
        <v>1</v>
      </c>
      <c r="AK497" t="str">
        <f t="shared" si="36"/>
        <v>25-34</v>
      </c>
      <c r="AL497" t="str">
        <f t="shared" si="37"/>
        <v>2-4 yrs (Mid)</v>
      </c>
      <c r="AM497" t="str">
        <f t="shared" si="38"/>
        <v>Mid (3K-7K)</v>
      </c>
      <c r="AN497" t="str">
        <f t="shared" si="39"/>
        <v>Normal</v>
      </c>
    </row>
    <row r="498" spans="1:40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 t="shared" si="35"/>
        <v>0</v>
      </c>
      <c r="AK498" t="str">
        <f t="shared" si="36"/>
        <v>Under 25</v>
      </c>
      <c r="AL498" t="str">
        <f t="shared" si="37"/>
        <v>2-4 yrs (Mid)</v>
      </c>
      <c r="AM498" t="str">
        <f t="shared" si="38"/>
        <v>Mid (3K-7K)</v>
      </c>
      <c r="AN498" t="str">
        <f t="shared" si="39"/>
        <v>Normal</v>
      </c>
    </row>
    <row r="499" spans="1:40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 t="shared" si="35"/>
        <v>0</v>
      </c>
      <c r="AK499" t="str">
        <f t="shared" si="36"/>
        <v>35-44</v>
      </c>
      <c r="AL499" t="str">
        <f t="shared" si="37"/>
        <v>2-4 yrs (Mid)</v>
      </c>
      <c r="AM499" t="str">
        <f t="shared" si="38"/>
        <v>Very High (12K+)</v>
      </c>
      <c r="AN499" t="str">
        <f t="shared" si="39"/>
        <v>Normal</v>
      </c>
    </row>
    <row r="500" spans="1:40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 t="shared" si="35"/>
        <v>0</v>
      </c>
      <c r="AK500" t="str">
        <f t="shared" si="36"/>
        <v>Under 25</v>
      </c>
      <c r="AL500" t="str">
        <f t="shared" si="37"/>
        <v>2-4 yrs (Mid)</v>
      </c>
      <c r="AM500" t="str">
        <f t="shared" si="38"/>
        <v>Low (&lt;3K)</v>
      </c>
      <c r="AN500" t="str">
        <f t="shared" si="39"/>
        <v>Normal</v>
      </c>
    </row>
    <row r="501" spans="1:40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 t="shared" si="35"/>
        <v>0</v>
      </c>
      <c r="AK501" t="str">
        <f t="shared" si="36"/>
        <v>25-34</v>
      </c>
      <c r="AL501" t="str">
        <f t="shared" si="37"/>
        <v>5-9 yrs (Senior)</v>
      </c>
      <c r="AM501" t="str">
        <f t="shared" si="38"/>
        <v>High (7K-12K)</v>
      </c>
      <c r="AN501" t="str">
        <f t="shared" si="39"/>
        <v>Normal</v>
      </c>
    </row>
    <row r="502" spans="1:40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 t="shared" si="35"/>
        <v>0</v>
      </c>
      <c r="AK502" t="str">
        <f t="shared" si="36"/>
        <v>25-34</v>
      </c>
      <c r="AL502" t="str">
        <f t="shared" si="37"/>
        <v>5-9 yrs (Senior)</v>
      </c>
      <c r="AM502" t="str">
        <f t="shared" si="38"/>
        <v>Mid (3K-7K)</v>
      </c>
      <c r="AN502" t="str">
        <f t="shared" si="39"/>
        <v>Normal</v>
      </c>
    </row>
    <row r="503" spans="1:40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 t="shared" si="35"/>
        <v>0</v>
      </c>
      <c r="AK503" t="str">
        <f t="shared" si="36"/>
        <v>25-34</v>
      </c>
      <c r="AL503" t="str">
        <f t="shared" si="37"/>
        <v>0-1 yrs (New)</v>
      </c>
      <c r="AM503" t="str">
        <f t="shared" si="38"/>
        <v>Low (&lt;3K)</v>
      </c>
      <c r="AN503" t="str">
        <f t="shared" si="39"/>
        <v>Normal</v>
      </c>
    </row>
    <row r="504" spans="1:40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 t="shared" si="35"/>
        <v>0</v>
      </c>
      <c r="AK504" t="str">
        <f t="shared" si="36"/>
        <v>45-54</v>
      </c>
      <c r="AL504" t="str">
        <f t="shared" si="37"/>
        <v>10+ yrs (Veteran)</v>
      </c>
      <c r="AM504" t="str">
        <f t="shared" si="38"/>
        <v>High (7K-12K)</v>
      </c>
      <c r="AN504" t="str">
        <f t="shared" si="39"/>
        <v>Normal</v>
      </c>
    </row>
    <row r="505" spans="1:40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 t="shared" si="35"/>
        <v>0</v>
      </c>
      <c r="AK505" t="str">
        <f t="shared" si="36"/>
        <v>25-34</v>
      </c>
      <c r="AL505" t="str">
        <f t="shared" si="37"/>
        <v>10+ yrs (Veteran)</v>
      </c>
      <c r="AM505" t="str">
        <f t="shared" si="38"/>
        <v>Low (&lt;3K)</v>
      </c>
      <c r="AN505" t="str">
        <f t="shared" si="39"/>
        <v>Normal</v>
      </c>
    </row>
    <row r="506" spans="1:40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 t="shared" si="35"/>
        <v>1</v>
      </c>
      <c r="AK506" t="str">
        <f t="shared" si="36"/>
        <v>45-54</v>
      </c>
      <c r="AL506" t="str">
        <f t="shared" si="37"/>
        <v>0-1 yrs (New)</v>
      </c>
      <c r="AM506" t="str">
        <f t="shared" si="38"/>
        <v>Mid (3K-7K)</v>
      </c>
      <c r="AN506" t="str">
        <f t="shared" si="39"/>
        <v>Normal</v>
      </c>
    </row>
    <row r="507" spans="1:40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 t="shared" si="35"/>
        <v>0</v>
      </c>
      <c r="AK507" t="str">
        <f t="shared" si="36"/>
        <v>25-34</v>
      </c>
      <c r="AL507" t="str">
        <f t="shared" si="37"/>
        <v>2-4 yrs (Mid)</v>
      </c>
      <c r="AM507" t="str">
        <f t="shared" si="38"/>
        <v>Low (&lt;3K)</v>
      </c>
      <c r="AN507" t="str">
        <f t="shared" si="39"/>
        <v>Normal</v>
      </c>
    </row>
    <row r="508" spans="1:40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 t="shared" si="35"/>
        <v>0</v>
      </c>
      <c r="AK508" t="str">
        <f t="shared" si="36"/>
        <v>35-44</v>
      </c>
      <c r="AL508" t="str">
        <f t="shared" si="37"/>
        <v>10+ yrs (Veteran)</v>
      </c>
      <c r="AM508" t="str">
        <f t="shared" si="38"/>
        <v>High (7K-12K)</v>
      </c>
      <c r="AN508" t="str">
        <f t="shared" si="39"/>
        <v>Normal</v>
      </c>
    </row>
    <row r="509" spans="1:40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 t="shared" si="35"/>
        <v>0</v>
      </c>
      <c r="AK509" t="str">
        <f t="shared" si="36"/>
        <v>25-34</v>
      </c>
      <c r="AL509" t="str">
        <f t="shared" si="37"/>
        <v>5-9 yrs (Senior)</v>
      </c>
      <c r="AM509" t="str">
        <f t="shared" si="38"/>
        <v>Mid (3K-7K)</v>
      </c>
      <c r="AN509" t="str">
        <f t="shared" si="39"/>
        <v>Normal</v>
      </c>
    </row>
    <row r="510" spans="1:40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 t="shared" si="35"/>
        <v>0</v>
      </c>
      <c r="AK510" t="str">
        <f t="shared" si="36"/>
        <v>35-44</v>
      </c>
      <c r="AL510" t="str">
        <f t="shared" si="37"/>
        <v>10+ yrs (Veteran)</v>
      </c>
      <c r="AM510" t="str">
        <f t="shared" si="38"/>
        <v>Mid (3K-7K)</v>
      </c>
      <c r="AN510" t="str">
        <f t="shared" si="39"/>
        <v>Normal</v>
      </c>
    </row>
    <row r="511" spans="1:40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 t="shared" si="35"/>
        <v>0</v>
      </c>
      <c r="AK511" t="str">
        <f t="shared" si="36"/>
        <v>25-34</v>
      </c>
      <c r="AL511" t="str">
        <f t="shared" si="37"/>
        <v>10+ yrs (Veteran)</v>
      </c>
      <c r="AM511" t="str">
        <f t="shared" si="38"/>
        <v>High (7K-12K)</v>
      </c>
      <c r="AN511" t="str">
        <f t="shared" si="39"/>
        <v>Normal</v>
      </c>
    </row>
    <row r="512" spans="1:40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 t="shared" si="35"/>
        <v>0</v>
      </c>
      <c r="AK512" t="str">
        <f t="shared" si="36"/>
        <v>45-54</v>
      </c>
      <c r="AL512" t="str">
        <f t="shared" si="37"/>
        <v>5-9 yrs (Senior)</v>
      </c>
      <c r="AM512" t="str">
        <f t="shared" si="38"/>
        <v>High (7K-12K)</v>
      </c>
      <c r="AN512" t="str">
        <f t="shared" si="39"/>
        <v>Normal</v>
      </c>
    </row>
    <row r="513" spans="1:40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 t="shared" si="35"/>
        <v>0</v>
      </c>
      <c r="AK513" t="str">
        <f t="shared" si="36"/>
        <v>35-44</v>
      </c>
      <c r="AL513" t="str">
        <f t="shared" si="37"/>
        <v>2-4 yrs (Mid)</v>
      </c>
      <c r="AM513" t="str">
        <f t="shared" si="38"/>
        <v>High (7K-12K)</v>
      </c>
      <c r="AN513" t="str">
        <f t="shared" si="39"/>
        <v>High Risk</v>
      </c>
    </row>
    <row r="514" spans="1:40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 t="shared" si="35"/>
        <v>0</v>
      </c>
      <c r="AK514" t="str">
        <f t="shared" si="36"/>
        <v>25-34</v>
      </c>
      <c r="AL514" t="str">
        <f t="shared" si="37"/>
        <v>2-4 yrs (Mid)</v>
      </c>
      <c r="AM514" t="str">
        <f t="shared" si="38"/>
        <v>Low (&lt;3K)</v>
      </c>
      <c r="AN514" t="str">
        <f t="shared" si="39"/>
        <v>Normal</v>
      </c>
    </row>
    <row r="515" spans="1:40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 t="shared" ref="AJ515:AJ578" si="40">IF(B515="Yes", 1, 0)</f>
        <v>1</v>
      </c>
      <c r="AK515" t="str">
        <f t="shared" ref="AK515:AK578" si="41">IF(A515&lt;25, "Under 25", IF(A515&lt;35, "25-34", IF(A515&lt;45, "35-44", IF(A515&lt;55, "45-54", "55+"))))</f>
        <v>Under 25</v>
      </c>
      <c r="AL515" t="str">
        <f t="shared" ref="AL515:AL578" si="42">IF(AF515&lt;2, "0-1 yrs (New)", IF(AF515&lt;5, "2-4 yrs (Mid)", IF(AF515&lt;10, "5-9 yrs (Senior)", "10+ yrs (Veteran)")))</f>
        <v>0-1 yrs (New)</v>
      </c>
      <c r="AM515" t="str">
        <f t="shared" ref="AM515:AM578" si="43">IF(S515&lt;3000, "Low (&lt;3K)", IF(S515&lt;7000, "Mid (3K-7K)", IF(S515&lt;12000, "High (7K-12K)", "Very High (12K+)")))</f>
        <v>Low (&lt;3K)</v>
      </c>
      <c r="AN515" t="str">
        <f t="shared" ref="AN515:AN578" si="44">IF(AND(W515="Yes", Q515&lt;=2), "High Risk", "Normal")</f>
        <v>Normal</v>
      </c>
    </row>
    <row r="516" spans="1:40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 t="shared" si="40"/>
        <v>1</v>
      </c>
      <c r="AK516" t="str">
        <f t="shared" si="41"/>
        <v>25-34</v>
      </c>
      <c r="AL516" t="str">
        <f t="shared" si="42"/>
        <v>10+ yrs (Veteran)</v>
      </c>
      <c r="AM516" t="str">
        <f t="shared" si="43"/>
        <v>Mid (3K-7K)</v>
      </c>
      <c r="AN516" t="str">
        <f t="shared" si="44"/>
        <v>High Risk</v>
      </c>
    </row>
    <row r="517" spans="1:40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 t="shared" si="40"/>
        <v>0</v>
      </c>
      <c r="AK517" t="str">
        <f t="shared" si="41"/>
        <v>35-44</v>
      </c>
      <c r="AL517" t="str">
        <f t="shared" si="42"/>
        <v>0-1 yrs (New)</v>
      </c>
      <c r="AM517" t="str">
        <f t="shared" si="43"/>
        <v>Low (&lt;3K)</v>
      </c>
      <c r="AN517" t="str">
        <f t="shared" si="44"/>
        <v>Normal</v>
      </c>
    </row>
    <row r="518" spans="1:40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 t="shared" si="40"/>
        <v>0</v>
      </c>
      <c r="AK518" t="str">
        <f t="shared" si="41"/>
        <v>Under 25</v>
      </c>
      <c r="AL518" t="str">
        <f t="shared" si="42"/>
        <v>2-4 yrs (Mid)</v>
      </c>
      <c r="AM518" t="str">
        <f t="shared" si="43"/>
        <v>Low (&lt;3K)</v>
      </c>
      <c r="AN518" t="str">
        <f t="shared" si="44"/>
        <v>Normal</v>
      </c>
    </row>
    <row r="519" spans="1:40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 t="shared" si="40"/>
        <v>0</v>
      </c>
      <c r="AK519" t="str">
        <f t="shared" si="41"/>
        <v>25-34</v>
      </c>
      <c r="AL519" t="str">
        <f t="shared" si="42"/>
        <v>2-4 yrs (Mid)</v>
      </c>
      <c r="AM519" t="str">
        <f t="shared" si="43"/>
        <v>Mid (3K-7K)</v>
      </c>
      <c r="AN519" t="str">
        <f t="shared" si="44"/>
        <v>Normal</v>
      </c>
    </row>
    <row r="520" spans="1:40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 t="shared" si="40"/>
        <v>0</v>
      </c>
      <c r="AK520" t="str">
        <f t="shared" si="41"/>
        <v>35-44</v>
      </c>
      <c r="AL520" t="str">
        <f t="shared" si="42"/>
        <v>5-9 yrs (Senior)</v>
      </c>
      <c r="AM520" t="str">
        <f t="shared" si="43"/>
        <v>Mid (3K-7K)</v>
      </c>
      <c r="AN520" t="str">
        <f t="shared" si="44"/>
        <v>Normal</v>
      </c>
    </row>
    <row r="521" spans="1:40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 t="shared" si="40"/>
        <v>0</v>
      </c>
      <c r="AK521" t="str">
        <f t="shared" si="41"/>
        <v>25-34</v>
      </c>
      <c r="AL521" t="str">
        <f t="shared" si="42"/>
        <v>10+ yrs (Veteran)</v>
      </c>
      <c r="AM521" t="str">
        <f t="shared" si="43"/>
        <v>Low (&lt;3K)</v>
      </c>
      <c r="AN521" t="str">
        <f t="shared" si="44"/>
        <v>Normal</v>
      </c>
    </row>
    <row r="522" spans="1:40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 t="shared" si="40"/>
        <v>0</v>
      </c>
      <c r="AK522" t="str">
        <f t="shared" si="41"/>
        <v>45-54</v>
      </c>
      <c r="AL522" t="str">
        <f t="shared" si="42"/>
        <v>2-4 yrs (Mid)</v>
      </c>
      <c r="AM522" t="str">
        <f t="shared" si="43"/>
        <v>High (7K-12K)</v>
      </c>
      <c r="AN522" t="str">
        <f t="shared" si="44"/>
        <v>Normal</v>
      </c>
    </row>
    <row r="523" spans="1:40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 t="shared" si="40"/>
        <v>0</v>
      </c>
      <c r="AK523" t="str">
        <f t="shared" si="41"/>
        <v>25-34</v>
      </c>
      <c r="AL523" t="str">
        <f t="shared" si="42"/>
        <v>5-9 yrs (Senior)</v>
      </c>
      <c r="AM523" t="str">
        <f t="shared" si="43"/>
        <v>Mid (3K-7K)</v>
      </c>
      <c r="AN523" t="str">
        <f t="shared" si="44"/>
        <v>Normal</v>
      </c>
    </row>
    <row r="524" spans="1:40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 t="shared" si="40"/>
        <v>0</v>
      </c>
      <c r="AK524" t="str">
        <f t="shared" si="41"/>
        <v>35-44</v>
      </c>
      <c r="AL524" t="str">
        <f t="shared" si="42"/>
        <v>0-1 yrs (New)</v>
      </c>
      <c r="AM524" t="str">
        <f t="shared" si="43"/>
        <v>Mid (3K-7K)</v>
      </c>
      <c r="AN524" t="str">
        <f t="shared" si="44"/>
        <v>Normal</v>
      </c>
    </row>
    <row r="525" spans="1:40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 t="shared" si="40"/>
        <v>0</v>
      </c>
      <c r="AK525" t="str">
        <f t="shared" si="41"/>
        <v>45-54</v>
      </c>
      <c r="AL525" t="str">
        <f t="shared" si="42"/>
        <v>10+ yrs (Veteran)</v>
      </c>
      <c r="AM525" t="str">
        <f t="shared" si="43"/>
        <v>Mid (3K-7K)</v>
      </c>
      <c r="AN525" t="str">
        <f t="shared" si="44"/>
        <v>Normal</v>
      </c>
    </row>
    <row r="526" spans="1:40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 t="shared" si="40"/>
        <v>0</v>
      </c>
      <c r="AK526" t="str">
        <f t="shared" si="41"/>
        <v>25-34</v>
      </c>
      <c r="AL526" t="str">
        <f t="shared" si="42"/>
        <v>5-9 yrs (Senior)</v>
      </c>
      <c r="AM526" t="str">
        <f t="shared" si="43"/>
        <v>High (7K-12K)</v>
      </c>
      <c r="AN526" t="str">
        <f t="shared" si="44"/>
        <v>Normal</v>
      </c>
    </row>
    <row r="527" spans="1:40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 t="shared" si="40"/>
        <v>1</v>
      </c>
      <c r="AK527" t="str">
        <f t="shared" si="41"/>
        <v>Under 25</v>
      </c>
      <c r="AL527" t="str">
        <f t="shared" si="42"/>
        <v>2-4 yrs (Mid)</v>
      </c>
      <c r="AM527" t="str">
        <f t="shared" si="43"/>
        <v>Mid (3K-7K)</v>
      </c>
      <c r="AN527" t="str">
        <f t="shared" si="44"/>
        <v>Normal</v>
      </c>
    </row>
    <row r="528" spans="1:40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 t="shared" si="40"/>
        <v>0</v>
      </c>
      <c r="AK528" t="str">
        <f t="shared" si="41"/>
        <v>35-44</v>
      </c>
      <c r="AL528" t="str">
        <f t="shared" si="42"/>
        <v>10+ yrs (Veteran)</v>
      </c>
      <c r="AM528" t="str">
        <f t="shared" si="43"/>
        <v>Mid (3K-7K)</v>
      </c>
      <c r="AN528" t="str">
        <f t="shared" si="44"/>
        <v>Normal</v>
      </c>
    </row>
    <row r="529" spans="1:40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 t="shared" si="40"/>
        <v>0</v>
      </c>
      <c r="AK529" t="str">
        <f t="shared" si="41"/>
        <v>25-34</v>
      </c>
      <c r="AL529" t="str">
        <f t="shared" si="42"/>
        <v>10+ yrs (Veteran)</v>
      </c>
      <c r="AM529" t="str">
        <f t="shared" si="43"/>
        <v>Mid (3K-7K)</v>
      </c>
      <c r="AN529" t="str">
        <f t="shared" si="44"/>
        <v>Normal</v>
      </c>
    </row>
    <row r="530" spans="1:40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 t="shared" si="40"/>
        <v>1</v>
      </c>
      <c r="AK530" t="str">
        <f t="shared" si="41"/>
        <v>45-54</v>
      </c>
      <c r="AL530" t="str">
        <f t="shared" si="42"/>
        <v>2-4 yrs (Mid)</v>
      </c>
      <c r="AM530" t="str">
        <f t="shared" si="43"/>
        <v>Mid (3K-7K)</v>
      </c>
      <c r="AN530" t="str">
        <f t="shared" si="44"/>
        <v>Normal</v>
      </c>
    </row>
    <row r="531" spans="1:40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 t="shared" si="40"/>
        <v>0</v>
      </c>
      <c r="AK531" t="str">
        <f t="shared" si="41"/>
        <v>35-44</v>
      </c>
      <c r="AL531" t="str">
        <f t="shared" si="42"/>
        <v>5-9 yrs (Senior)</v>
      </c>
      <c r="AM531" t="str">
        <f t="shared" si="43"/>
        <v>High (7K-12K)</v>
      </c>
      <c r="AN531" t="str">
        <f t="shared" si="44"/>
        <v>Normal</v>
      </c>
    </row>
    <row r="532" spans="1:40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 t="shared" si="40"/>
        <v>0</v>
      </c>
      <c r="AK532" t="str">
        <f t="shared" si="41"/>
        <v>25-34</v>
      </c>
      <c r="AL532" t="str">
        <f t="shared" si="42"/>
        <v>5-9 yrs (Senior)</v>
      </c>
      <c r="AM532" t="str">
        <f t="shared" si="43"/>
        <v>High (7K-12K)</v>
      </c>
      <c r="AN532" t="str">
        <f t="shared" si="44"/>
        <v>Normal</v>
      </c>
    </row>
    <row r="533" spans="1:40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 t="shared" si="40"/>
        <v>0</v>
      </c>
      <c r="AK533" t="str">
        <f t="shared" si="41"/>
        <v>25-34</v>
      </c>
      <c r="AL533" t="str">
        <f t="shared" si="42"/>
        <v>5-9 yrs (Senior)</v>
      </c>
      <c r="AM533" t="str">
        <f t="shared" si="43"/>
        <v>High (7K-12K)</v>
      </c>
      <c r="AN533" t="str">
        <f t="shared" si="44"/>
        <v>Normal</v>
      </c>
    </row>
    <row r="534" spans="1:40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 t="shared" si="40"/>
        <v>0</v>
      </c>
      <c r="AK534" t="str">
        <f t="shared" si="41"/>
        <v>45-54</v>
      </c>
      <c r="AL534" t="str">
        <f t="shared" si="42"/>
        <v>5-9 yrs (Senior)</v>
      </c>
      <c r="AM534" t="str">
        <f t="shared" si="43"/>
        <v>Mid (3K-7K)</v>
      </c>
      <c r="AN534" t="str">
        <f t="shared" si="44"/>
        <v>Normal</v>
      </c>
    </row>
    <row r="535" spans="1:40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 t="shared" si="40"/>
        <v>0</v>
      </c>
      <c r="AK535" t="str">
        <f t="shared" si="41"/>
        <v>35-44</v>
      </c>
      <c r="AL535" t="str">
        <f t="shared" si="42"/>
        <v>10+ yrs (Veteran)</v>
      </c>
      <c r="AM535" t="str">
        <f t="shared" si="43"/>
        <v>High (7K-12K)</v>
      </c>
      <c r="AN535" t="str">
        <f t="shared" si="44"/>
        <v>High Risk</v>
      </c>
    </row>
    <row r="536" spans="1:40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 t="shared" si="40"/>
        <v>0</v>
      </c>
      <c r="AK536" t="str">
        <f t="shared" si="41"/>
        <v>45-54</v>
      </c>
      <c r="AL536" t="str">
        <f t="shared" si="42"/>
        <v>5-9 yrs (Senior)</v>
      </c>
      <c r="AM536" t="str">
        <f t="shared" si="43"/>
        <v>Very High (12K+)</v>
      </c>
      <c r="AN536" t="str">
        <f t="shared" si="44"/>
        <v>Normal</v>
      </c>
    </row>
    <row r="537" spans="1:40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 t="shared" si="40"/>
        <v>0</v>
      </c>
      <c r="AK537" t="str">
        <f t="shared" si="41"/>
        <v>35-44</v>
      </c>
      <c r="AL537" t="str">
        <f t="shared" si="42"/>
        <v>10+ yrs (Veteran)</v>
      </c>
      <c r="AM537" t="str">
        <f t="shared" si="43"/>
        <v>Very High (12K+)</v>
      </c>
      <c r="AN537" t="str">
        <f t="shared" si="44"/>
        <v>Normal</v>
      </c>
    </row>
    <row r="538" spans="1:40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 t="shared" si="40"/>
        <v>0</v>
      </c>
      <c r="AK538" t="str">
        <f t="shared" si="41"/>
        <v>55+</v>
      </c>
      <c r="AL538" t="str">
        <f t="shared" si="42"/>
        <v>2-4 yrs (Mid)</v>
      </c>
      <c r="AM538" t="str">
        <f t="shared" si="43"/>
        <v>Mid (3K-7K)</v>
      </c>
      <c r="AN538" t="str">
        <f t="shared" si="44"/>
        <v>Normal</v>
      </c>
    </row>
    <row r="539" spans="1:40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 t="shared" si="40"/>
        <v>0</v>
      </c>
      <c r="AK539" t="str">
        <f t="shared" si="41"/>
        <v>25-34</v>
      </c>
      <c r="AL539" t="str">
        <f t="shared" si="42"/>
        <v>5-9 yrs (Senior)</v>
      </c>
      <c r="AM539" t="str">
        <f t="shared" si="43"/>
        <v>High (7K-12K)</v>
      </c>
      <c r="AN539" t="str">
        <f t="shared" si="44"/>
        <v>Normal</v>
      </c>
    </row>
    <row r="540" spans="1:40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 t="shared" si="40"/>
        <v>0</v>
      </c>
      <c r="AK540" t="str">
        <f t="shared" si="41"/>
        <v>35-44</v>
      </c>
      <c r="AL540" t="str">
        <f t="shared" si="42"/>
        <v>10+ yrs (Veteran)</v>
      </c>
      <c r="AM540" t="str">
        <f t="shared" si="43"/>
        <v>Very High (12K+)</v>
      </c>
      <c r="AN540" t="str">
        <f t="shared" si="44"/>
        <v>Normal</v>
      </c>
    </row>
    <row r="541" spans="1:40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 t="shared" si="40"/>
        <v>0</v>
      </c>
      <c r="AK541" t="str">
        <f t="shared" si="41"/>
        <v>45-54</v>
      </c>
      <c r="AL541" t="str">
        <f t="shared" si="42"/>
        <v>2-4 yrs (Mid)</v>
      </c>
      <c r="AM541" t="str">
        <f t="shared" si="43"/>
        <v>Mid (3K-7K)</v>
      </c>
      <c r="AN541" t="str">
        <f t="shared" si="44"/>
        <v>Normal</v>
      </c>
    </row>
    <row r="542" spans="1:40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 t="shared" si="40"/>
        <v>1</v>
      </c>
      <c r="AK542" t="str">
        <f t="shared" si="41"/>
        <v>25-34</v>
      </c>
      <c r="AL542" t="str">
        <f t="shared" si="42"/>
        <v>5-9 yrs (Senior)</v>
      </c>
      <c r="AM542" t="str">
        <f t="shared" si="43"/>
        <v>Low (&lt;3K)</v>
      </c>
      <c r="AN542" t="str">
        <f t="shared" si="44"/>
        <v>High Risk</v>
      </c>
    </row>
    <row r="543" spans="1:40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 t="shared" si="40"/>
        <v>0</v>
      </c>
      <c r="AK543" t="str">
        <f t="shared" si="41"/>
        <v>35-44</v>
      </c>
      <c r="AL543" t="str">
        <f t="shared" si="42"/>
        <v>5-9 yrs (Senior)</v>
      </c>
      <c r="AM543" t="str">
        <f t="shared" si="43"/>
        <v>High (7K-12K)</v>
      </c>
      <c r="AN543" t="str">
        <f t="shared" si="44"/>
        <v>Normal</v>
      </c>
    </row>
    <row r="544" spans="1:40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 t="shared" si="40"/>
        <v>0</v>
      </c>
      <c r="AK544" t="str">
        <f t="shared" si="41"/>
        <v>35-44</v>
      </c>
      <c r="AL544" t="str">
        <f t="shared" si="42"/>
        <v>0-1 yrs (New)</v>
      </c>
      <c r="AM544" t="str">
        <f t="shared" si="43"/>
        <v>High (7K-12K)</v>
      </c>
      <c r="AN544" t="str">
        <f t="shared" si="44"/>
        <v>Normal</v>
      </c>
    </row>
    <row r="545" spans="1:40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 t="shared" si="40"/>
        <v>0</v>
      </c>
      <c r="AK545" t="str">
        <f t="shared" si="41"/>
        <v>35-44</v>
      </c>
      <c r="AL545" t="str">
        <f t="shared" si="42"/>
        <v>5-9 yrs (Senior)</v>
      </c>
      <c r="AM545" t="str">
        <f t="shared" si="43"/>
        <v>Mid (3K-7K)</v>
      </c>
      <c r="AN545" t="str">
        <f t="shared" si="44"/>
        <v>Normal</v>
      </c>
    </row>
    <row r="546" spans="1:40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 t="shared" si="40"/>
        <v>0</v>
      </c>
      <c r="AK546" t="str">
        <f t="shared" si="41"/>
        <v>45-54</v>
      </c>
      <c r="AL546" t="str">
        <f t="shared" si="42"/>
        <v>10+ yrs (Veteran)</v>
      </c>
      <c r="AM546" t="str">
        <f t="shared" si="43"/>
        <v>Very High (12K+)</v>
      </c>
      <c r="AN546" t="str">
        <f t="shared" si="44"/>
        <v>Normal</v>
      </c>
    </row>
    <row r="547" spans="1:40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 t="shared" si="40"/>
        <v>0</v>
      </c>
      <c r="AK547" t="str">
        <f t="shared" si="41"/>
        <v>25-34</v>
      </c>
      <c r="AL547" t="str">
        <f t="shared" si="42"/>
        <v>5-9 yrs (Senior)</v>
      </c>
      <c r="AM547" t="str">
        <f t="shared" si="43"/>
        <v>Mid (3K-7K)</v>
      </c>
      <c r="AN547" t="str">
        <f t="shared" si="44"/>
        <v>Normal</v>
      </c>
    </row>
    <row r="548" spans="1:40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 t="shared" si="40"/>
        <v>0</v>
      </c>
      <c r="AK548" t="str">
        <f t="shared" si="41"/>
        <v>25-34</v>
      </c>
      <c r="AL548" t="str">
        <f t="shared" si="42"/>
        <v>0-1 yrs (New)</v>
      </c>
      <c r="AM548" t="str">
        <f t="shared" si="43"/>
        <v>Low (&lt;3K)</v>
      </c>
      <c r="AN548" t="str">
        <f t="shared" si="44"/>
        <v>Normal</v>
      </c>
    </row>
    <row r="549" spans="1:40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 t="shared" si="40"/>
        <v>1</v>
      </c>
      <c r="AK549" t="str">
        <f t="shared" si="41"/>
        <v>35-44</v>
      </c>
      <c r="AL549" t="str">
        <f t="shared" si="42"/>
        <v>2-4 yrs (Mid)</v>
      </c>
      <c r="AM549" t="str">
        <f t="shared" si="43"/>
        <v>Low (&lt;3K)</v>
      </c>
      <c r="AN549" t="str">
        <f t="shared" si="44"/>
        <v>Normal</v>
      </c>
    </row>
    <row r="550" spans="1:40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 t="shared" si="40"/>
        <v>0</v>
      </c>
      <c r="AK550" t="str">
        <f t="shared" si="41"/>
        <v>35-44</v>
      </c>
      <c r="AL550" t="str">
        <f t="shared" si="42"/>
        <v>2-4 yrs (Mid)</v>
      </c>
      <c r="AM550" t="str">
        <f t="shared" si="43"/>
        <v>Mid (3K-7K)</v>
      </c>
      <c r="AN550" t="str">
        <f t="shared" si="44"/>
        <v>Normal</v>
      </c>
    </row>
    <row r="551" spans="1:40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 t="shared" si="40"/>
        <v>0</v>
      </c>
      <c r="AK551" t="str">
        <f t="shared" si="41"/>
        <v>25-34</v>
      </c>
      <c r="AL551" t="str">
        <f t="shared" si="42"/>
        <v>5-9 yrs (Senior)</v>
      </c>
      <c r="AM551" t="str">
        <f t="shared" si="43"/>
        <v>Mid (3K-7K)</v>
      </c>
      <c r="AN551" t="str">
        <f t="shared" si="44"/>
        <v>Normal</v>
      </c>
    </row>
    <row r="552" spans="1:40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 t="shared" si="40"/>
        <v>0</v>
      </c>
      <c r="AK552" t="str">
        <f t="shared" si="41"/>
        <v>Under 25</v>
      </c>
      <c r="AL552" t="str">
        <f t="shared" si="42"/>
        <v>2-4 yrs (Mid)</v>
      </c>
      <c r="AM552" t="str">
        <f t="shared" si="43"/>
        <v>Low (&lt;3K)</v>
      </c>
      <c r="AN552" t="str">
        <f t="shared" si="44"/>
        <v>Normal</v>
      </c>
    </row>
    <row r="553" spans="1:40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 t="shared" si="40"/>
        <v>0</v>
      </c>
      <c r="AK553" t="str">
        <f t="shared" si="41"/>
        <v>35-44</v>
      </c>
      <c r="AL553" t="str">
        <f t="shared" si="42"/>
        <v>5-9 yrs (Senior)</v>
      </c>
      <c r="AM553" t="str">
        <f t="shared" si="43"/>
        <v>Mid (3K-7K)</v>
      </c>
      <c r="AN553" t="str">
        <f t="shared" si="44"/>
        <v>Normal</v>
      </c>
    </row>
    <row r="554" spans="1:40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 t="shared" si="40"/>
        <v>0</v>
      </c>
      <c r="AK554" t="str">
        <f t="shared" si="41"/>
        <v>55+</v>
      </c>
      <c r="AL554" t="str">
        <f t="shared" si="42"/>
        <v>10+ yrs (Veteran)</v>
      </c>
      <c r="AM554" t="str">
        <f t="shared" si="43"/>
        <v>High (7K-12K)</v>
      </c>
      <c r="AN554" t="str">
        <f t="shared" si="44"/>
        <v>Normal</v>
      </c>
    </row>
    <row r="555" spans="1:40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 t="shared" si="40"/>
        <v>0</v>
      </c>
      <c r="AK555" t="str">
        <f t="shared" si="41"/>
        <v>35-44</v>
      </c>
      <c r="AL555" t="str">
        <f t="shared" si="42"/>
        <v>2-4 yrs (Mid)</v>
      </c>
      <c r="AM555" t="str">
        <f t="shared" si="43"/>
        <v>Low (&lt;3K)</v>
      </c>
      <c r="AN555" t="str">
        <f t="shared" si="44"/>
        <v>Normal</v>
      </c>
    </row>
    <row r="556" spans="1:40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 t="shared" si="40"/>
        <v>0</v>
      </c>
      <c r="AK556" t="str">
        <f t="shared" si="41"/>
        <v>25-34</v>
      </c>
      <c r="AL556" t="str">
        <f t="shared" si="42"/>
        <v>5-9 yrs (Senior)</v>
      </c>
      <c r="AM556" t="str">
        <f t="shared" si="43"/>
        <v>Mid (3K-7K)</v>
      </c>
      <c r="AN556" t="str">
        <f t="shared" si="44"/>
        <v>Normal</v>
      </c>
    </row>
    <row r="557" spans="1:40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 t="shared" si="40"/>
        <v>0</v>
      </c>
      <c r="AK557" t="str">
        <f t="shared" si="41"/>
        <v>25-34</v>
      </c>
      <c r="AL557" t="str">
        <f t="shared" si="42"/>
        <v>2-4 yrs (Mid)</v>
      </c>
      <c r="AM557" t="str">
        <f t="shared" si="43"/>
        <v>Low (&lt;3K)</v>
      </c>
      <c r="AN557" t="str">
        <f t="shared" si="44"/>
        <v>Normal</v>
      </c>
    </row>
    <row r="558" spans="1:40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 t="shared" si="40"/>
        <v>0</v>
      </c>
      <c r="AK558" t="str">
        <f t="shared" si="41"/>
        <v>45-54</v>
      </c>
      <c r="AL558" t="str">
        <f t="shared" si="42"/>
        <v>2-4 yrs (Mid)</v>
      </c>
      <c r="AM558" t="str">
        <f t="shared" si="43"/>
        <v>Low (&lt;3K)</v>
      </c>
      <c r="AN558" t="str">
        <f t="shared" si="44"/>
        <v>Normal</v>
      </c>
    </row>
    <row r="559" spans="1:40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 t="shared" si="40"/>
        <v>0</v>
      </c>
      <c r="AK559" t="str">
        <f t="shared" si="41"/>
        <v>35-44</v>
      </c>
      <c r="AL559" t="str">
        <f t="shared" si="42"/>
        <v>0-1 yrs (New)</v>
      </c>
      <c r="AM559" t="str">
        <f t="shared" si="43"/>
        <v>Mid (3K-7K)</v>
      </c>
      <c r="AN559" t="str">
        <f t="shared" si="44"/>
        <v>Normal</v>
      </c>
    </row>
    <row r="560" spans="1:40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 t="shared" si="40"/>
        <v>0</v>
      </c>
      <c r="AK560" t="str">
        <f t="shared" si="41"/>
        <v>25-34</v>
      </c>
      <c r="AL560" t="str">
        <f t="shared" si="42"/>
        <v>10+ yrs (Veteran)</v>
      </c>
      <c r="AM560" t="str">
        <f t="shared" si="43"/>
        <v>Mid (3K-7K)</v>
      </c>
      <c r="AN560" t="str">
        <f t="shared" si="44"/>
        <v>Normal</v>
      </c>
    </row>
    <row r="561" spans="1:40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 t="shared" si="40"/>
        <v>0</v>
      </c>
      <c r="AK561" t="str">
        <f t="shared" si="41"/>
        <v>35-44</v>
      </c>
      <c r="AL561" t="str">
        <f t="shared" si="42"/>
        <v>0-1 yrs (New)</v>
      </c>
      <c r="AM561" t="str">
        <f t="shared" si="43"/>
        <v>Mid (3K-7K)</v>
      </c>
      <c r="AN561" t="str">
        <f t="shared" si="44"/>
        <v>Normal</v>
      </c>
    </row>
    <row r="562" spans="1:40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 t="shared" si="40"/>
        <v>0</v>
      </c>
      <c r="AK562" t="str">
        <f t="shared" si="41"/>
        <v>25-34</v>
      </c>
      <c r="AL562" t="str">
        <f t="shared" si="42"/>
        <v>0-1 yrs (New)</v>
      </c>
      <c r="AM562" t="str">
        <f t="shared" si="43"/>
        <v>Mid (3K-7K)</v>
      </c>
      <c r="AN562" t="str">
        <f t="shared" si="44"/>
        <v>Normal</v>
      </c>
    </row>
    <row r="563" spans="1:40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 t="shared" si="40"/>
        <v>0</v>
      </c>
      <c r="AK563" t="str">
        <f t="shared" si="41"/>
        <v>45-54</v>
      </c>
      <c r="AL563" t="str">
        <f t="shared" si="42"/>
        <v>10+ yrs (Veteran)</v>
      </c>
      <c r="AM563" t="str">
        <f t="shared" si="43"/>
        <v>Very High (12K+)</v>
      </c>
      <c r="AN563" t="str">
        <f t="shared" si="44"/>
        <v>Normal</v>
      </c>
    </row>
    <row r="564" spans="1:40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 t="shared" si="40"/>
        <v>1</v>
      </c>
      <c r="AK564" t="str">
        <f t="shared" si="41"/>
        <v>25-34</v>
      </c>
      <c r="AL564" t="str">
        <f t="shared" si="42"/>
        <v>10+ yrs (Veteran)</v>
      </c>
      <c r="AM564" t="str">
        <f t="shared" si="43"/>
        <v>Low (&lt;3K)</v>
      </c>
      <c r="AN564" t="str">
        <f t="shared" si="44"/>
        <v>Normal</v>
      </c>
    </row>
    <row r="565" spans="1:40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 t="shared" si="40"/>
        <v>0</v>
      </c>
      <c r="AK565" t="str">
        <f t="shared" si="41"/>
        <v>25-34</v>
      </c>
      <c r="AL565" t="str">
        <f t="shared" si="42"/>
        <v>5-9 yrs (Senior)</v>
      </c>
      <c r="AM565" t="str">
        <f t="shared" si="43"/>
        <v>Mid (3K-7K)</v>
      </c>
      <c r="AN565" t="str">
        <f t="shared" si="44"/>
        <v>Normal</v>
      </c>
    </row>
    <row r="566" spans="1:40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 t="shared" si="40"/>
        <v>0</v>
      </c>
      <c r="AK566" t="str">
        <f t="shared" si="41"/>
        <v>45-54</v>
      </c>
      <c r="AL566" t="str">
        <f t="shared" si="42"/>
        <v>5-9 yrs (Senior)</v>
      </c>
      <c r="AM566" t="str">
        <f t="shared" si="43"/>
        <v>Mid (3K-7K)</v>
      </c>
      <c r="AN566" t="str">
        <f t="shared" si="44"/>
        <v>Normal</v>
      </c>
    </row>
    <row r="567" spans="1:40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 t="shared" si="40"/>
        <v>0</v>
      </c>
      <c r="AK567" t="str">
        <f t="shared" si="41"/>
        <v>Under 25</v>
      </c>
      <c r="AL567" t="str">
        <f t="shared" si="42"/>
        <v>2-4 yrs (Mid)</v>
      </c>
      <c r="AM567" t="str">
        <f t="shared" si="43"/>
        <v>Mid (3K-7K)</v>
      </c>
      <c r="AN567" t="str">
        <f t="shared" si="44"/>
        <v>Normal</v>
      </c>
    </row>
    <row r="568" spans="1:40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 t="shared" si="40"/>
        <v>1</v>
      </c>
      <c r="AK568" t="str">
        <f t="shared" si="41"/>
        <v>45-54</v>
      </c>
      <c r="AL568" t="str">
        <f t="shared" si="42"/>
        <v>5-9 yrs (Senior)</v>
      </c>
      <c r="AM568" t="str">
        <f t="shared" si="43"/>
        <v>Mid (3K-7K)</v>
      </c>
      <c r="AN568" t="str">
        <f t="shared" si="44"/>
        <v>Normal</v>
      </c>
    </row>
    <row r="569" spans="1:40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 t="shared" si="40"/>
        <v>0</v>
      </c>
      <c r="AK569" t="str">
        <f t="shared" si="41"/>
        <v>25-34</v>
      </c>
      <c r="AL569" t="str">
        <f t="shared" si="42"/>
        <v>5-9 yrs (Senior)</v>
      </c>
      <c r="AM569" t="str">
        <f t="shared" si="43"/>
        <v>Mid (3K-7K)</v>
      </c>
      <c r="AN569" t="str">
        <f t="shared" si="44"/>
        <v>Normal</v>
      </c>
    </row>
    <row r="570" spans="1:40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 t="shared" si="40"/>
        <v>1</v>
      </c>
      <c r="AK570" t="str">
        <f t="shared" si="41"/>
        <v>55+</v>
      </c>
      <c r="AL570" t="str">
        <f t="shared" si="42"/>
        <v>5-9 yrs (Senior)</v>
      </c>
      <c r="AM570" t="str">
        <f t="shared" si="43"/>
        <v>Very High (12K+)</v>
      </c>
      <c r="AN570" t="str">
        <f t="shared" si="44"/>
        <v>High Risk</v>
      </c>
    </row>
    <row r="571" spans="1:40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 t="shared" si="40"/>
        <v>0</v>
      </c>
      <c r="AK571" t="str">
        <f t="shared" si="41"/>
        <v>35-44</v>
      </c>
      <c r="AL571" t="str">
        <f t="shared" si="42"/>
        <v>10+ yrs (Veteran)</v>
      </c>
      <c r="AM571" t="str">
        <f t="shared" si="43"/>
        <v>High (7K-12K)</v>
      </c>
      <c r="AN571" t="str">
        <f t="shared" si="44"/>
        <v>Normal</v>
      </c>
    </row>
    <row r="572" spans="1:40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 t="shared" si="40"/>
        <v>0</v>
      </c>
      <c r="AK572" t="str">
        <f t="shared" si="41"/>
        <v>45-54</v>
      </c>
      <c r="AL572" t="str">
        <f t="shared" si="42"/>
        <v>2-4 yrs (Mid)</v>
      </c>
      <c r="AM572" t="str">
        <f t="shared" si="43"/>
        <v>Mid (3K-7K)</v>
      </c>
      <c r="AN572" t="str">
        <f t="shared" si="44"/>
        <v>Normal</v>
      </c>
    </row>
    <row r="573" spans="1:40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 t="shared" si="40"/>
        <v>0</v>
      </c>
      <c r="AK573" t="str">
        <f t="shared" si="41"/>
        <v>25-34</v>
      </c>
      <c r="AL573" t="str">
        <f t="shared" si="42"/>
        <v>2-4 yrs (Mid)</v>
      </c>
      <c r="AM573" t="str">
        <f t="shared" si="43"/>
        <v>Mid (3K-7K)</v>
      </c>
      <c r="AN573" t="str">
        <f t="shared" si="44"/>
        <v>Normal</v>
      </c>
    </row>
    <row r="574" spans="1:40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 t="shared" si="40"/>
        <v>0</v>
      </c>
      <c r="AK574" t="str">
        <f t="shared" si="41"/>
        <v>25-34</v>
      </c>
      <c r="AL574" t="str">
        <f t="shared" si="42"/>
        <v>5-9 yrs (Senior)</v>
      </c>
      <c r="AM574" t="str">
        <f t="shared" si="43"/>
        <v>Mid (3K-7K)</v>
      </c>
      <c r="AN574" t="str">
        <f t="shared" si="44"/>
        <v>Normal</v>
      </c>
    </row>
    <row r="575" spans="1:40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 t="shared" si="40"/>
        <v>1</v>
      </c>
      <c r="AK575" t="str">
        <f t="shared" si="41"/>
        <v>25-34</v>
      </c>
      <c r="AL575" t="str">
        <f t="shared" si="42"/>
        <v>2-4 yrs (Mid)</v>
      </c>
      <c r="AM575" t="str">
        <f t="shared" si="43"/>
        <v>Mid (3K-7K)</v>
      </c>
      <c r="AN575" t="str">
        <f t="shared" si="44"/>
        <v>Normal</v>
      </c>
    </row>
    <row r="576" spans="1:40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 t="shared" si="40"/>
        <v>0</v>
      </c>
      <c r="AK576" t="str">
        <f t="shared" si="41"/>
        <v>25-34</v>
      </c>
      <c r="AL576" t="str">
        <f t="shared" si="42"/>
        <v>2-4 yrs (Mid)</v>
      </c>
      <c r="AM576" t="str">
        <f t="shared" si="43"/>
        <v>Mid (3K-7K)</v>
      </c>
      <c r="AN576" t="str">
        <f t="shared" si="44"/>
        <v>Normal</v>
      </c>
    </row>
    <row r="577" spans="1:40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 t="shared" si="40"/>
        <v>0</v>
      </c>
      <c r="AK577" t="str">
        <f t="shared" si="41"/>
        <v>45-54</v>
      </c>
      <c r="AL577" t="str">
        <f t="shared" si="42"/>
        <v>5-9 yrs (Senior)</v>
      </c>
      <c r="AM577" t="str">
        <f t="shared" si="43"/>
        <v>Mid (3K-7K)</v>
      </c>
      <c r="AN577" t="str">
        <f t="shared" si="44"/>
        <v>High Risk</v>
      </c>
    </row>
    <row r="578" spans="1:40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 t="shared" si="40"/>
        <v>0</v>
      </c>
      <c r="AK578" t="str">
        <f t="shared" si="41"/>
        <v>25-34</v>
      </c>
      <c r="AL578" t="str">
        <f t="shared" si="42"/>
        <v>2-4 yrs (Mid)</v>
      </c>
      <c r="AM578" t="str">
        <f t="shared" si="43"/>
        <v>Mid (3K-7K)</v>
      </c>
      <c r="AN578" t="str">
        <f t="shared" si="44"/>
        <v>Normal</v>
      </c>
    </row>
    <row r="579" spans="1:40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 t="shared" ref="AJ579:AJ642" si="45">IF(B579="Yes", 1, 0)</f>
        <v>0</v>
      </c>
      <c r="AK579" t="str">
        <f t="shared" ref="AK579:AK642" si="46">IF(A579&lt;25, "Under 25", IF(A579&lt;35, "25-34", IF(A579&lt;45, "35-44", IF(A579&lt;55, "45-54", "55+"))))</f>
        <v>35-44</v>
      </c>
      <c r="AL579" t="str">
        <f t="shared" ref="AL579:AL642" si="47">IF(AF579&lt;2, "0-1 yrs (New)", IF(AF579&lt;5, "2-4 yrs (Mid)", IF(AF579&lt;10, "5-9 yrs (Senior)", "10+ yrs (Veteran)")))</f>
        <v>5-9 yrs (Senior)</v>
      </c>
      <c r="AM579" t="str">
        <f t="shared" ref="AM579:AM642" si="48">IF(S579&lt;3000, "Low (&lt;3K)", IF(S579&lt;7000, "Mid (3K-7K)", IF(S579&lt;12000, "High (7K-12K)", "Very High (12K+)")))</f>
        <v>Low (&lt;3K)</v>
      </c>
      <c r="AN579" t="str">
        <f t="shared" ref="AN579:AN642" si="49">IF(AND(W579="Yes", Q579&lt;=2), "High Risk", "Normal")</f>
        <v>High Risk</v>
      </c>
    </row>
    <row r="580" spans="1:40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 t="shared" si="45"/>
        <v>0</v>
      </c>
      <c r="AK580" t="str">
        <f t="shared" si="46"/>
        <v>35-44</v>
      </c>
      <c r="AL580" t="str">
        <f t="shared" si="47"/>
        <v>10+ yrs (Veteran)</v>
      </c>
      <c r="AM580" t="str">
        <f t="shared" si="48"/>
        <v>Mid (3K-7K)</v>
      </c>
      <c r="AN580" t="str">
        <f t="shared" si="49"/>
        <v>High Risk</v>
      </c>
    </row>
    <row r="581" spans="1:40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 t="shared" si="45"/>
        <v>0</v>
      </c>
      <c r="AK581" t="str">
        <f t="shared" si="46"/>
        <v>25-34</v>
      </c>
      <c r="AL581" t="str">
        <f t="shared" si="47"/>
        <v>5-9 yrs (Senior)</v>
      </c>
      <c r="AM581" t="str">
        <f t="shared" si="48"/>
        <v>Mid (3K-7K)</v>
      </c>
      <c r="AN581" t="str">
        <f t="shared" si="49"/>
        <v>Normal</v>
      </c>
    </row>
    <row r="582" spans="1:40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 t="shared" si="45"/>
        <v>0</v>
      </c>
      <c r="AK582" t="str">
        <f t="shared" si="46"/>
        <v>35-44</v>
      </c>
      <c r="AL582" t="str">
        <f t="shared" si="47"/>
        <v>2-4 yrs (Mid)</v>
      </c>
      <c r="AM582" t="str">
        <f t="shared" si="48"/>
        <v>Low (&lt;3K)</v>
      </c>
      <c r="AN582" t="str">
        <f t="shared" si="49"/>
        <v>Normal</v>
      </c>
    </row>
    <row r="583" spans="1:40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 t="shared" si="45"/>
        <v>0</v>
      </c>
      <c r="AK583" t="str">
        <f t="shared" si="46"/>
        <v>25-34</v>
      </c>
      <c r="AL583" t="str">
        <f t="shared" si="47"/>
        <v>2-4 yrs (Mid)</v>
      </c>
      <c r="AM583" t="str">
        <f t="shared" si="48"/>
        <v>Mid (3K-7K)</v>
      </c>
      <c r="AN583" t="str">
        <f t="shared" si="49"/>
        <v>Normal</v>
      </c>
    </row>
    <row r="584" spans="1:40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 t="shared" si="45"/>
        <v>0</v>
      </c>
      <c r="AK584" t="str">
        <f t="shared" si="46"/>
        <v>35-44</v>
      </c>
      <c r="AL584" t="str">
        <f t="shared" si="47"/>
        <v>5-9 yrs (Senior)</v>
      </c>
      <c r="AM584" t="str">
        <f t="shared" si="48"/>
        <v>Mid (3K-7K)</v>
      </c>
      <c r="AN584" t="str">
        <f t="shared" si="49"/>
        <v>Normal</v>
      </c>
    </row>
    <row r="585" spans="1:40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 t="shared" si="45"/>
        <v>0</v>
      </c>
      <c r="AK585" t="str">
        <f t="shared" si="46"/>
        <v>25-34</v>
      </c>
      <c r="AL585" t="str">
        <f t="shared" si="47"/>
        <v>2-4 yrs (Mid)</v>
      </c>
      <c r="AM585" t="str">
        <f t="shared" si="48"/>
        <v>Mid (3K-7K)</v>
      </c>
      <c r="AN585" t="str">
        <f t="shared" si="49"/>
        <v>Normal</v>
      </c>
    </row>
    <row r="586" spans="1:40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 t="shared" si="45"/>
        <v>0</v>
      </c>
      <c r="AK586" t="str">
        <f t="shared" si="46"/>
        <v>35-44</v>
      </c>
      <c r="AL586" t="str">
        <f t="shared" si="47"/>
        <v>10+ yrs (Veteran)</v>
      </c>
      <c r="AM586" t="str">
        <f t="shared" si="48"/>
        <v>Very High (12K+)</v>
      </c>
      <c r="AN586" t="str">
        <f t="shared" si="49"/>
        <v>Normal</v>
      </c>
    </row>
    <row r="587" spans="1:40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 t="shared" si="45"/>
        <v>1</v>
      </c>
      <c r="AK587" t="str">
        <f t="shared" si="46"/>
        <v>Under 25</v>
      </c>
      <c r="AL587" t="str">
        <f t="shared" si="47"/>
        <v>0-1 yrs (New)</v>
      </c>
      <c r="AM587" t="str">
        <f t="shared" si="48"/>
        <v>Low (&lt;3K)</v>
      </c>
      <c r="AN587" t="str">
        <f t="shared" si="49"/>
        <v>High Risk</v>
      </c>
    </row>
    <row r="588" spans="1:40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 t="shared" si="45"/>
        <v>0</v>
      </c>
      <c r="AK588" t="str">
        <f t="shared" si="46"/>
        <v>Under 25</v>
      </c>
      <c r="AL588" t="str">
        <f t="shared" si="47"/>
        <v>0-1 yrs (New)</v>
      </c>
      <c r="AM588" t="str">
        <f t="shared" si="48"/>
        <v>Low (&lt;3K)</v>
      </c>
      <c r="AN588" t="str">
        <f t="shared" si="49"/>
        <v>Normal</v>
      </c>
    </row>
    <row r="589" spans="1:40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 t="shared" si="45"/>
        <v>0</v>
      </c>
      <c r="AK589" t="str">
        <f t="shared" si="46"/>
        <v>45-54</v>
      </c>
      <c r="AL589" t="str">
        <f t="shared" si="47"/>
        <v>5-9 yrs (Senior)</v>
      </c>
      <c r="AM589" t="str">
        <f t="shared" si="48"/>
        <v>Mid (3K-7K)</v>
      </c>
      <c r="AN589" t="str">
        <f t="shared" si="49"/>
        <v>Normal</v>
      </c>
    </row>
    <row r="590" spans="1:40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 t="shared" si="45"/>
        <v>0</v>
      </c>
      <c r="AK590" t="str">
        <f t="shared" si="46"/>
        <v>45-54</v>
      </c>
      <c r="AL590" t="str">
        <f t="shared" si="47"/>
        <v>2-4 yrs (Mid)</v>
      </c>
      <c r="AM590" t="str">
        <f t="shared" si="48"/>
        <v>Very High (12K+)</v>
      </c>
      <c r="AN590" t="str">
        <f t="shared" si="49"/>
        <v>Normal</v>
      </c>
    </row>
    <row r="591" spans="1:40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 t="shared" si="45"/>
        <v>1</v>
      </c>
      <c r="AK591" t="str">
        <f t="shared" si="46"/>
        <v>25-34</v>
      </c>
      <c r="AL591" t="str">
        <f t="shared" si="47"/>
        <v>0-1 yrs (New)</v>
      </c>
      <c r="AM591" t="str">
        <f t="shared" si="48"/>
        <v>Low (&lt;3K)</v>
      </c>
      <c r="AN591" t="str">
        <f t="shared" si="49"/>
        <v>High Risk</v>
      </c>
    </row>
    <row r="592" spans="1:40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 t="shared" si="45"/>
        <v>0</v>
      </c>
      <c r="AK592" t="str">
        <f t="shared" si="46"/>
        <v>25-34</v>
      </c>
      <c r="AL592" t="str">
        <f t="shared" si="47"/>
        <v>10+ yrs (Veteran)</v>
      </c>
      <c r="AM592" t="str">
        <f t="shared" si="48"/>
        <v>High (7K-12K)</v>
      </c>
      <c r="AN592" t="str">
        <f t="shared" si="49"/>
        <v>Normal</v>
      </c>
    </row>
    <row r="593" spans="1:40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 t="shared" si="45"/>
        <v>1</v>
      </c>
      <c r="AK593" t="str">
        <f t="shared" si="46"/>
        <v>25-34</v>
      </c>
      <c r="AL593" t="str">
        <f t="shared" si="47"/>
        <v>2-4 yrs (Mid)</v>
      </c>
      <c r="AM593" t="str">
        <f t="shared" si="48"/>
        <v>Mid (3K-7K)</v>
      </c>
      <c r="AN593" t="str">
        <f t="shared" si="49"/>
        <v>Normal</v>
      </c>
    </row>
    <row r="594" spans="1:40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 t="shared" si="45"/>
        <v>0</v>
      </c>
      <c r="AK594" t="str">
        <f t="shared" si="46"/>
        <v>45-54</v>
      </c>
      <c r="AL594" t="str">
        <f t="shared" si="47"/>
        <v>10+ yrs (Veteran)</v>
      </c>
      <c r="AM594" t="str">
        <f t="shared" si="48"/>
        <v>Very High (12K+)</v>
      </c>
      <c r="AN594" t="str">
        <f t="shared" si="49"/>
        <v>Normal</v>
      </c>
    </row>
    <row r="595" spans="1:40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 t="shared" si="45"/>
        <v>0</v>
      </c>
      <c r="AK595" t="str">
        <f t="shared" si="46"/>
        <v>35-44</v>
      </c>
      <c r="AL595" t="str">
        <f t="shared" si="47"/>
        <v>5-9 yrs (Senior)</v>
      </c>
      <c r="AM595" t="str">
        <f t="shared" si="48"/>
        <v>Mid (3K-7K)</v>
      </c>
      <c r="AN595" t="str">
        <f t="shared" si="49"/>
        <v>Normal</v>
      </c>
    </row>
    <row r="596" spans="1:40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 t="shared" si="45"/>
        <v>0</v>
      </c>
      <c r="AK596" t="str">
        <f t="shared" si="46"/>
        <v>25-34</v>
      </c>
      <c r="AL596" t="str">
        <f t="shared" si="47"/>
        <v>10+ yrs (Veteran)</v>
      </c>
      <c r="AM596" t="str">
        <f t="shared" si="48"/>
        <v>Low (&lt;3K)</v>
      </c>
      <c r="AN596" t="str">
        <f t="shared" si="49"/>
        <v>Normal</v>
      </c>
    </row>
    <row r="597" spans="1:40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 t="shared" si="45"/>
        <v>1</v>
      </c>
      <c r="AK597" t="str">
        <f t="shared" si="46"/>
        <v>55+</v>
      </c>
      <c r="AL597" t="str">
        <f t="shared" si="47"/>
        <v>10+ yrs (Veteran)</v>
      </c>
      <c r="AM597" t="str">
        <f t="shared" si="48"/>
        <v>Very High (12K+)</v>
      </c>
      <c r="AN597" t="str">
        <f t="shared" si="49"/>
        <v>High Risk</v>
      </c>
    </row>
    <row r="598" spans="1:40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 t="shared" si="45"/>
        <v>0</v>
      </c>
      <c r="AK598" t="str">
        <f t="shared" si="46"/>
        <v>35-44</v>
      </c>
      <c r="AL598" t="str">
        <f t="shared" si="47"/>
        <v>2-4 yrs (Mid)</v>
      </c>
      <c r="AM598" t="str">
        <f t="shared" si="48"/>
        <v>Low (&lt;3K)</v>
      </c>
      <c r="AN598" t="str">
        <f t="shared" si="49"/>
        <v>Normal</v>
      </c>
    </row>
    <row r="599" spans="1:40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 t="shared" si="45"/>
        <v>0</v>
      </c>
      <c r="AK599" t="str">
        <f t="shared" si="46"/>
        <v>35-44</v>
      </c>
      <c r="AL599" t="str">
        <f t="shared" si="47"/>
        <v>2-4 yrs (Mid)</v>
      </c>
      <c r="AM599" t="str">
        <f t="shared" si="48"/>
        <v>Mid (3K-7K)</v>
      </c>
      <c r="AN599" t="str">
        <f t="shared" si="49"/>
        <v>Normal</v>
      </c>
    </row>
    <row r="600" spans="1:40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 t="shared" si="45"/>
        <v>1</v>
      </c>
      <c r="AK600" t="str">
        <f t="shared" si="46"/>
        <v>25-34</v>
      </c>
      <c r="AL600" t="str">
        <f t="shared" si="47"/>
        <v>2-4 yrs (Mid)</v>
      </c>
      <c r="AM600" t="str">
        <f t="shared" si="48"/>
        <v>Mid (3K-7K)</v>
      </c>
      <c r="AN600" t="str">
        <f t="shared" si="49"/>
        <v>Normal</v>
      </c>
    </row>
    <row r="601" spans="1:40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 t="shared" si="45"/>
        <v>0</v>
      </c>
      <c r="AK601" t="str">
        <f t="shared" si="46"/>
        <v>35-44</v>
      </c>
      <c r="AL601" t="str">
        <f t="shared" si="47"/>
        <v>5-9 yrs (Senior)</v>
      </c>
      <c r="AM601" t="str">
        <f t="shared" si="48"/>
        <v>Low (&lt;3K)</v>
      </c>
      <c r="AN601" t="str">
        <f t="shared" si="49"/>
        <v>Normal</v>
      </c>
    </row>
    <row r="602" spans="1:40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 t="shared" si="45"/>
        <v>0</v>
      </c>
      <c r="AK602" t="str">
        <f t="shared" si="46"/>
        <v>25-34</v>
      </c>
      <c r="AL602" t="str">
        <f t="shared" si="47"/>
        <v>10+ yrs (Veteran)</v>
      </c>
      <c r="AM602" t="str">
        <f t="shared" si="48"/>
        <v>Mid (3K-7K)</v>
      </c>
      <c r="AN602" t="str">
        <f t="shared" si="49"/>
        <v>Normal</v>
      </c>
    </row>
    <row r="603" spans="1:40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 t="shared" si="45"/>
        <v>0</v>
      </c>
      <c r="AK603" t="str">
        <f t="shared" si="46"/>
        <v>35-44</v>
      </c>
      <c r="AL603" t="str">
        <f t="shared" si="47"/>
        <v>0-1 yrs (New)</v>
      </c>
      <c r="AM603" t="str">
        <f t="shared" si="48"/>
        <v>Mid (3K-7K)</v>
      </c>
      <c r="AN603" t="str">
        <f t="shared" si="49"/>
        <v>Normal</v>
      </c>
    </row>
    <row r="604" spans="1:40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 t="shared" si="45"/>
        <v>0</v>
      </c>
      <c r="AK604" t="str">
        <f t="shared" si="46"/>
        <v>25-34</v>
      </c>
      <c r="AL604" t="str">
        <f t="shared" si="47"/>
        <v>0-1 yrs (New)</v>
      </c>
      <c r="AM604" t="str">
        <f t="shared" si="48"/>
        <v>Mid (3K-7K)</v>
      </c>
      <c r="AN604" t="str">
        <f t="shared" si="49"/>
        <v>Normal</v>
      </c>
    </row>
    <row r="605" spans="1:40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 t="shared" si="45"/>
        <v>0</v>
      </c>
      <c r="AK605" t="str">
        <f t="shared" si="46"/>
        <v>45-54</v>
      </c>
      <c r="AL605" t="str">
        <f t="shared" si="47"/>
        <v>0-1 yrs (New)</v>
      </c>
      <c r="AM605" t="str">
        <f t="shared" si="48"/>
        <v>Low (&lt;3K)</v>
      </c>
      <c r="AN605" t="str">
        <f t="shared" si="49"/>
        <v>Normal</v>
      </c>
    </row>
    <row r="606" spans="1:40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 t="shared" si="45"/>
        <v>0</v>
      </c>
      <c r="AK606" t="str">
        <f t="shared" si="46"/>
        <v>35-44</v>
      </c>
      <c r="AL606" t="str">
        <f t="shared" si="47"/>
        <v>5-9 yrs (Senior)</v>
      </c>
      <c r="AM606" t="str">
        <f t="shared" si="48"/>
        <v>Mid (3K-7K)</v>
      </c>
      <c r="AN606" t="str">
        <f t="shared" si="49"/>
        <v>Normal</v>
      </c>
    </row>
    <row r="607" spans="1:40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 t="shared" si="45"/>
        <v>0</v>
      </c>
      <c r="AK607" t="str">
        <f t="shared" si="46"/>
        <v>35-44</v>
      </c>
      <c r="AL607" t="str">
        <f t="shared" si="47"/>
        <v>2-4 yrs (Mid)</v>
      </c>
      <c r="AM607" t="str">
        <f t="shared" si="48"/>
        <v>Mid (3K-7K)</v>
      </c>
      <c r="AN607" t="str">
        <f t="shared" si="49"/>
        <v>Normal</v>
      </c>
    </row>
    <row r="608" spans="1:40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 t="shared" si="45"/>
        <v>0</v>
      </c>
      <c r="AK608" t="str">
        <f t="shared" si="46"/>
        <v>25-34</v>
      </c>
      <c r="AL608" t="str">
        <f t="shared" si="47"/>
        <v>5-9 yrs (Senior)</v>
      </c>
      <c r="AM608" t="str">
        <f t="shared" si="48"/>
        <v>Low (&lt;3K)</v>
      </c>
      <c r="AN608" t="str">
        <f t="shared" si="49"/>
        <v>Normal</v>
      </c>
    </row>
    <row r="609" spans="1:40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 t="shared" si="45"/>
        <v>1</v>
      </c>
      <c r="AK609" t="str">
        <f t="shared" si="46"/>
        <v>45-54</v>
      </c>
      <c r="AL609" t="str">
        <f t="shared" si="47"/>
        <v>5-9 yrs (Senior)</v>
      </c>
      <c r="AM609" t="str">
        <f t="shared" si="48"/>
        <v>High (7K-12K)</v>
      </c>
      <c r="AN609" t="str">
        <f t="shared" si="49"/>
        <v>Normal</v>
      </c>
    </row>
    <row r="610" spans="1:40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 t="shared" si="45"/>
        <v>1</v>
      </c>
      <c r="AK610" t="str">
        <f t="shared" si="46"/>
        <v>55+</v>
      </c>
      <c r="AL610" t="str">
        <f t="shared" si="47"/>
        <v>5-9 yrs (Senior)</v>
      </c>
      <c r="AM610" t="str">
        <f t="shared" si="48"/>
        <v>Mid (3K-7K)</v>
      </c>
      <c r="AN610" t="str">
        <f t="shared" si="49"/>
        <v>Normal</v>
      </c>
    </row>
    <row r="611" spans="1:40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 t="shared" si="45"/>
        <v>0</v>
      </c>
      <c r="AK611" t="str">
        <f t="shared" si="46"/>
        <v>35-44</v>
      </c>
      <c r="AL611" t="str">
        <f t="shared" si="47"/>
        <v>2-4 yrs (Mid)</v>
      </c>
      <c r="AM611" t="str">
        <f t="shared" si="48"/>
        <v>Very High (12K+)</v>
      </c>
      <c r="AN611" t="str">
        <f t="shared" si="49"/>
        <v>Normal</v>
      </c>
    </row>
    <row r="612" spans="1:40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 t="shared" si="45"/>
        <v>0</v>
      </c>
      <c r="AK612" t="str">
        <f t="shared" si="46"/>
        <v>25-34</v>
      </c>
      <c r="AL612" t="str">
        <f t="shared" si="47"/>
        <v>5-9 yrs (Senior)</v>
      </c>
      <c r="AM612" t="str">
        <f t="shared" si="48"/>
        <v>Very High (12K+)</v>
      </c>
      <c r="AN612" t="str">
        <f t="shared" si="49"/>
        <v>Normal</v>
      </c>
    </row>
    <row r="613" spans="1:40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 t="shared" si="45"/>
        <v>0</v>
      </c>
      <c r="AK613" t="str">
        <f t="shared" si="46"/>
        <v>35-44</v>
      </c>
      <c r="AL613" t="str">
        <f t="shared" si="47"/>
        <v>5-9 yrs (Senior)</v>
      </c>
      <c r="AM613" t="str">
        <f t="shared" si="48"/>
        <v>High (7K-12K)</v>
      </c>
      <c r="AN613" t="str">
        <f t="shared" si="49"/>
        <v>Normal</v>
      </c>
    </row>
    <row r="614" spans="1:40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 t="shared" si="45"/>
        <v>0</v>
      </c>
      <c r="AK614" t="str">
        <f t="shared" si="46"/>
        <v>25-34</v>
      </c>
      <c r="AL614" t="str">
        <f t="shared" si="47"/>
        <v>5-9 yrs (Senior)</v>
      </c>
      <c r="AM614" t="str">
        <f t="shared" si="48"/>
        <v>Mid (3K-7K)</v>
      </c>
      <c r="AN614" t="str">
        <f t="shared" si="49"/>
        <v>High Risk</v>
      </c>
    </row>
    <row r="615" spans="1:40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 t="shared" si="45"/>
        <v>0</v>
      </c>
      <c r="AK615" t="str">
        <f t="shared" si="46"/>
        <v>25-34</v>
      </c>
      <c r="AL615" t="str">
        <f t="shared" si="47"/>
        <v>2-4 yrs (Mid)</v>
      </c>
      <c r="AM615" t="str">
        <f t="shared" si="48"/>
        <v>Mid (3K-7K)</v>
      </c>
      <c r="AN615" t="str">
        <f t="shared" si="49"/>
        <v>Normal</v>
      </c>
    </row>
    <row r="616" spans="1:40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 t="shared" si="45"/>
        <v>1</v>
      </c>
      <c r="AK616" t="str">
        <f t="shared" si="46"/>
        <v>25-34</v>
      </c>
      <c r="AL616" t="str">
        <f t="shared" si="47"/>
        <v>5-9 yrs (Senior)</v>
      </c>
      <c r="AM616" t="str">
        <f t="shared" si="48"/>
        <v>Low (&lt;3K)</v>
      </c>
      <c r="AN616" t="str">
        <f t="shared" si="49"/>
        <v>Normal</v>
      </c>
    </row>
    <row r="617" spans="1:40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 t="shared" si="45"/>
        <v>0</v>
      </c>
      <c r="AK617" t="str">
        <f t="shared" si="46"/>
        <v>25-34</v>
      </c>
      <c r="AL617" t="str">
        <f t="shared" si="47"/>
        <v>0-1 yrs (New)</v>
      </c>
      <c r="AM617" t="str">
        <f t="shared" si="48"/>
        <v>Low (&lt;3K)</v>
      </c>
      <c r="AN617" t="str">
        <f t="shared" si="49"/>
        <v>Normal</v>
      </c>
    </row>
    <row r="618" spans="1:40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 t="shared" si="45"/>
        <v>0</v>
      </c>
      <c r="AK618" t="str">
        <f t="shared" si="46"/>
        <v>45-54</v>
      </c>
      <c r="AL618" t="str">
        <f t="shared" si="47"/>
        <v>10+ yrs (Veteran)</v>
      </c>
      <c r="AM618" t="str">
        <f t="shared" si="48"/>
        <v>Very High (12K+)</v>
      </c>
      <c r="AN618" t="str">
        <f t="shared" si="49"/>
        <v>Normal</v>
      </c>
    </row>
    <row r="619" spans="1:40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 t="shared" si="45"/>
        <v>0</v>
      </c>
      <c r="AK619" t="str">
        <f t="shared" si="46"/>
        <v>35-44</v>
      </c>
      <c r="AL619" t="str">
        <f t="shared" si="47"/>
        <v>5-9 yrs (Senior)</v>
      </c>
      <c r="AM619" t="str">
        <f t="shared" si="48"/>
        <v>Mid (3K-7K)</v>
      </c>
      <c r="AN619" t="str">
        <f t="shared" si="49"/>
        <v>Normal</v>
      </c>
    </row>
    <row r="620" spans="1:40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 t="shared" si="45"/>
        <v>0</v>
      </c>
      <c r="AK620" t="str">
        <f t="shared" si="46"/>
        <v>25-34</v>
      </c>
      <c r="AL620" t="str">
        <f t="shared" si="47"/>
        <v>2-4 yrs (Mid)</v>
      </c>
      <c r="AM620" t="str">
        <f t="shared" si="48"/>
        <v>Mid (3K-7K)</v>
      </c>
      <c r="AN620" t="str">
        <f t="shared" si="49"/>
        <v>Normal</v>
      </c>
    </row>
    <row r="621" spans="1:40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 t="shared" si="45"/>
        <v>0</v>
      </c>
      <c r="AK621" t="str">
        <f t="shared" si="46"/>
        <v>25-34</v>
      </c>
      <c r="AL621" t="str">
        <f t="shared" si="47"/>
        <v>5-9 yrs (Senior)</v>
      </c>
      <c r="AM621" t="str">
        <f t="shared" si="48"/>
        <v>Mid (3K-7K)</v>
      </c>
      <c r="AN621" t="str">
        <f t="shared" si="49"/>
        <v>Normal</v>
      </c>
    </row>
    <row r="622" spans="1:40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 t="shared" si="45"/>
        <v>0</v>
      </c>
      <c r="AK622" t="str">
        <f t="shared" si="46"/>
        <v>35-44</v>
      </c>
      <c r="AL622" t="str">
        <f t="shared" si="47"/>
        <v>5-9 yrs (Senior)</v>
      </c>
      <c r="AM622" t="str">
        <f t="shared" si="48"/>
        <v>Low (&lt;3K)</v>
      </c>
      <c r="AN622" t="str">
        <f t="shared" si="49"/>
        <v>Normal</v>
      </c>
    </row>
    <row r="623" spans="1:40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 t="shared" si="45"/>
        <v>0</v>
      </c>
      <c r="AK623" t="str">
        <f t="shared" si="46"/>
        <v>35-44</v>
      </c>
      <c r="AL623" t="str">
        <f t="shared" si="47"/>
        <v>10+ yrs (Veteran)</v>
      </c>
      <c r="AM623" t="str">
        <f t="shared" si="48"/>
        <v>Mid (3K-7K)</v>
      </c>
      <c r="AN623" t="str">
        <f t="shared" si="49"/>
        <v>Normal</v>
      </c>
    </row>
    <row r="624" spans="1:40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 t="shared" si="45"/>
        <v>0</v>
      </c>
      <c r="AK624" t="str">
        <f t="shared" si="46"/>
        <v>25-34</v>
      </c>
      <c r="AL624" t="str">
        <f t="shared" si="47"/>
        <v>5-9 yrs (Senior)</v>
      </c>
      <c r="AM624" t="str">
        <f t="shared" si="48"/>
        <v>Mid (3K-7K)</v>
      </c>
      <c r="AN624" t="str">
        <f t="shared" si="49"/>
        <v>Normal</v>
      </c>
    </row>
    <row r="625" spans="1:40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 t="shared" si="45"/>
        <v>0</v>
      </c>
      <c r="AK625" t="str">
        <f t="shared" si="46"/>
        <v>25-34</v>
      </c>
      <c r="AL625" t="str">
        <f t="shared" si="47"/>
        <v>5-9 yrs (Senior)</v>
      </c>
      <c r="AM625" t="str">
        <f t="shared" si="48"/>
        <v>Mid (3K-7K)</v>
      </c>
      <c r="AN625" t="str">
        <f t="shared" si="49"/>
        <v>Normal</v>
      </c>
    </row>
    <row r="626" spans="1:40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 t="shared" si="45"/>
        <v>0</v>
      </c>
      <c r="AK626" t="str">
        <f t="shared" si="46"/>
        <v>45-54</v>
      </c>
      <c r="AL626" t="str">
        <f t="shared" si="47"/>
        <v>5-9 yrs (Senior)</v>
      </c>
      <c r="AM626" t="str">
        <f t="shared" si="48"/>
        <v>High (7K-12K)</v>
      </c>
      <c r="AN626" t="str">
        <f t="shared" si="49"/>
        <v>Normal</v>
      </c>
    </row>
    <row r="627" spans="1:40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 t="shared" si="45"/>
        <v>0</v>
      </c>
      <c r="AK627" t="str">
        <f t="shared" si="46"/>
        <v>45-54</v>
      </c>
      <c r="AL627" t="str">
        <f t="shared" si="47"/>
        <v>5-9 yrs (Senior)</v>
      </c>
      <c r="AM627" t="str">
        <f t="shared" si="48"/>
        <v>High (7K-12K)</v>
      </c>
      <c r="AN627" t="str">
        <f t="shared" si="49"/>
        <v>High Risk</v>
      </c>
    </row>
    <row r="628" spans="1:40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 t="shared" si="45"/>
        <v>0</v>
      </c>
      <c r="AK628" t="str">
        <f t="shared" si="46"/>
        <v>25-34</v>
      </c>
      <c r="AL628" t="str">
        <f t="shared" si="47"/>
        <v>5-9 yrs (Senior)</v>
      </c>
      <c r="AM628" t="str">
        <f t="shared" si="48"/>
        <v>Mid (3K-7K)</v>
      </c>
      <c r="AN628" t="str">
        <f t="shared" si="49"/>
        <v>Normal</v>
      </c>
    </row>
    <row r="629" spans="1:40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 t="shared" si="45"/>
        <v>0</v>
      </c>
      <c r="AK629" t="str">
        <f t="shared" si="46"/>
        <v>45-54</v>
      </c>
      <c r="AL629" t="str">
        <f t="shared" si="47"/>
        <v>5-9 yrs (Senior)</v>
      </c>
      <c r="AM629" t="str">
        <f t="shared" si="48"/>
        <v>Very High (12K+)</v>
      </c>
      <c r="AN629" t="str">
        <f t="shared" si="49"/>
        <v>Normal</v>
      </c>
    </row>
    <row r="630" spans="1:40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 t="shared" si="45"/>
        <v>0</v>
      </c>
      <c r="AK630" t="str">
        <f t="shared" si="46"/>
        <v>35-44</v>
      </c>
      <c r="AL630" t="str">
        <f t="shared" si="47"/>
        <v>0-1 yrs (New)</v>
      </c>
      <c r="AM630" t="str">
        <f t="shared" si="48"/>
        <v>Mid (3K-7K)</v>
      </c>
      <c r="AN630" t="str">
        <f t="shared" si="49"/>
        <v>Normal</v>
      </c>
    </row>
    <row r="631" spans="1:40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 t="shared" si="45"/>
        <v>0</v>
      </c>
      <c r="AK631" t="str">
        <f t="shared" si="46"/>
        <v>25-34</v>
      </c>
      <c r="AL631" t="str">
        <f t="shared" si="47"/>
        <v>5-9 yrs (Senior)</v>
      </c>
      <c r="AM631" t="str">
        <f t="shared" si="48"/>
        <v>Mid (3K-7K)</v>
      </c>
      <c r="AN631" t="str">
        <f t="shared" si="49"/>
        <v>Normal</v>
      </c>
    </row>
    <row r="632" spans="1:40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 t="shared" si="45"/>
        <v>0</v>
      </c>
      <c r="AK632" t="str">
        <f t="shared" si="46"/>
        <v>Under 25</v>
      </c>
      <c r="AL632" t="str">
        <f t="shared" si="47"/>
        <v>2-4 yrs (Mid)</v>
      </c>
      <c r="AM632" t="str">
        <f t="shared" si="48"/>
        <v>Mid (3K-7K)</v>
      </c>
      <c r="AN632" t="str">
        <f t="shared" si="49"/>
        <v>Normal</v>
      </c>
    </row>
    <row r="633" spans="1:40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 t="shared" si="45"/>
        <v>0</v>
      </c>
      <c r="AK633" t="str">
        <f t="shared" si="46"/>
        <v>35-44</v>
      </c>
      <c r="AL633" t="str">
        <f t="shared" si="47"/>
        <v>2-4 yrs (Mid)</v>
      </c>
      <c r="AM633" t="str">
        <f t="shared" si="48"/>
        <v>Low (&lt;3K)</v>
      </c>
      <c r="AN633" t="str">
        <f t="shared" si="49"/>
        <v>Normal</v>
      </c>
    </row>
    <row r="634" spans="1:40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 t="shared" si="45"/>
        <v>0</v>
      </c>
      <c r="AK634" t="str">
        <f t="shared" si="46"/>
        <v>35-44</v>
      </c>
      <c r="AL634" t="str">
        <f t="shared" si="47"/>
        <v>2-4 yrs (Mid)</v>
      </c>
      <c r="AM634" t="str">
        <f t="shared" si="48"/>
        <v>Low (&lt;3K)</v>
      </c>
      <c r="AN634" t="str">
        <f t="shared" si="49"/>
        <v>Normal</v>
      </c>
    </row>
    <row r="635" spans="1:40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 t="shared" si="45"/>
        <v>0</v>
      </c>
      <c r="AK635" t="str">
        <f t="shared" si="46"/>
        <v>35-44</v>
      </c>
      <c r="AL635" t="str">
        <f t="shared" si="47"/>
        <v>5-9 yrs (Senior)</v>
      </c>
      <c r="AM635" t="str">
        <f t="shared" si="48"/>
        <v>Low (&lt;3K)</v>
      </c>
      <c r="AN635" t="str">
        <f t="shared" si="49"/>
        <v>Normal</v>
      </c>
    </row>
    <row r="636" spans="1:40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 t="shared" si="45"/>
        <v>0</v>
      </c>
      <c r="AK636" t="str">
        <f t="shared" si="46"/>
        <v>25-34</v>
      </c>
      <c r="AL636" t="str">
        <f t="shared" si="47"/>
        <v>5-9 yrs (Senior)</v>
      </c>
      <c r="AM636" t="str">
        <f t="shared" si="48"/>
        <v>Mid (3K-7K)</v>
      </c>
      <c r="AN636" t="str">
        <f t="shared" si="49"/>
        <v>High Risk</v>
      </c>
    </row>
    <row r="637" spans="1:40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 t="shared" si="45"/>
        <v>0</v>
      </c>
      <c r="AK637" t="str">
        <f t="shared" si="46"/>
        <v>35-44</v>
      </c>
      <c r="AL637" t="str">
        <f t="shared" si="47"/>
        <v>10+ yrs (Veteran)</v>
      </c>
      <c r="AM637" t="str">
        <f t="shared" si="48"/>
        <v>High (7K-12K)</v>
      </c>
      <c r="AN637" t="str">
        <f t="shared" si="49"/>
        <v>Normal</v>
      </c>
    </row>
    <row r="638" spans="1:40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 t="shared" si="45"/>
        <v>1</v>
      </c>
      <c r="AK638" t="str">
        <f t="shared" si="46"/>
        <v>35-44</v>
      </c>
      <c r="AL638" t="str">
        <f t="shared" si="47"/>
        <v>10+ yrs (Veteran)</v>
      </c>
      <c r="AM638" t="str">
        <f t="shared" si="48"/>
        <v>Low (&lt;3K)</v>
      </c>
      <c r="AN638" t="str">
        <f t="shared" si="49"/>
        <v>High Risk</v>
      </c>
    </row>
    <row r="639" spans="1:40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 t="shared" si="45"/>
        <v>0</v>
      </c>
      <c r="AK639" t="str">
        <f t="shared" si="46"/>
        <v>25-34</v>
      </c>
      <c r="AL639" t="str">
        <f t="shared" si="47"/>
        <v>2-4 yrs (Mid)</v>
      </c>
      <c r="AM639" t="str">
        <f t="shared" si="48"/>
        <v>Low (&lt;3K)</v>
      </c>
      <c r="AN639" t="str">
        <f t="shared" si="49"/>
        <v>Normal</v>
      </c>
    </row>
    <row r="640" spans="1:40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 t="shared" si="45"/>
        <v>0</v>
      </c>
      <c r="AK640" t="str">
        <f t="shared" si="46"/>
        <v>25-34</v>
      </c>
      <c r="AL640" t="str">
        <f t="shared" si="47"/>
        <v>5-9 yrs (Senior)</v>
      </c>
      <c r="AM640" t="str">
        <f t="shared" si="48"/>
        <v>Mid (3K-7K)</v>
      </c>
      <c r="AN640" t="str">
        <f t="shared" si="49"/>
        <v>Normal</v>
      </c>
    </row>
    <row r="641" spans="1:40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 t="shared" si="45"/>
        <v>0</v>
      </c>
      <c r="AK641" t="str">
        <f t="shared" si="46"/>
        <v>45-54</v>
      </c>
      <c r="AL641" t="str">
        <f t="shared" si="47"/>
        <v>2-4 yrs (Mid)</v>
      </c>
      <c r="AM641" t="str">
        <f t="shared" si="48"/>
        <v>Mid (3K-7K)</v>
      </c>
      <c r="AN641" t="str">
        <f t="shared" si="49"/>
        <v>Normal</v>
      </c>
    </row>
    <row r="642" spans="1:40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 t="shared" si="45"/>
        <v>0</v>
      </c>
      <c r="AK642" t="str">
        <f t="shared" si="46"/>
        <v>Under 25</v>
      </c>
      <c r="AL642" t="str">
        <f t="shared" si="47"/>
        <v>5-9 yrs (Senior)</v>
      </c>
      <c r="AM642" t="str">
        <f t="shared" si="48"/>
        <v>Mid (3K-7K)</v>
      </c>
      <c r="AN642" t="str">
        <f t="shared" si="49"/>
        <v>Normal</v>
      </c>
    </row>
    <row r="643" spans="1:40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 t="shared" ref="AJ643:AJ706" si="50">IF(B643="Yes", 1, 0)</f>
        <v>0</v>
      </c>
      <c r="AK643" t="str">
        <f t="shared" ref="AK643:AK706" si="51">IF(A643&lt;25, "Under 25", IF(A643&lt;35, "25-34", IF(A643&lt;45, "35-44", IF(A643&lt;55, "45-54", "55+"))))</f>
        <v>25-34</v>
      </c>
      <c r="AL643" t="str">
        <f t="shared" ref="AL643:AL706" si="52">IF(AF643&lt;2, "0-1 yrs (New)", IF(AF643&lt;5, "2-4 yrs (Mid)", IF(AF643&lt;10, "5-9 yrs (Senior)", "10+ yrs (Veteran)")))</f>
        <v>10+ yrs (Veteran)</v>
      </c>
      <c r="AM643" t="str">
        <f t="shared" ref="AM643:AM706" si="53">IF(S643&lt;3000, "Low (&lt;3K)", IF(S643&lt;7000, "Mid (3K-7K)", IF(S643&lt;12000, "High (7K-12K)", "Very High (12K+)")))</f>
        <v>Mid (3K-7K)</v>
      </c>
      <c r="AN643" t="str">
        <f t="shared" ref="AN643:AN706" si="54">IF(AND(W643="Yes", Q643&lt;=2), "High Risk", "Normal")</f>
        <v>Normal</v>
      </c>
    </row>
    <row r="644" spans="1:40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 t="shared" si="50"/>
        <v>0</v>
      </c>
      <c r="AK644" t="str">
        <f t="shared" si="51"/>
        <v>35-44</v>
      </c>
      <c r="AL644" t="str">
        <f t="shared" si="52"/>
        <v>2-4 yrs (Mid)</v>
      </c>
      <c r="AM644" t="str">
        <f t="shared" si="53"/>
        <v>Low (&lt;3K)</v>
      </c>
      <c r="AN644" t="str">
        <f t="shared" si="54"/>
        <v>Normal</v>
      </c>
    </row>
    <row r="645" spans="1:40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 t="shared" si="50"/>
        <v>0</v>
      </c>
      <c r="AK645" t="str">
        <f t="shared" si="51"/>
        <v>35-44</v>
      </c>
      <c r="AL645" t="str">
        <f t="shared" si="52"/>
        <v>5-9 yrs (Senior)</v>
      </c>
      <c r="AM645" t="str">
        <f t="shared" si="53"/>
        <v>Mid (3K-7K)</v>
      </c>
      <c r="AN645" t="str">
        <f t="shared" si="54"/>
        <v>Normal</v>
      </c>
    </row>
    <row r="646" spans="1:40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 t="shared" si="50"/>
        <v>0</v>
      </c>
      <c r="AK646" t="str">
        <f t="shared" si="51"/>
        <v>25-34</v>
      </c>
      <c r="AL646" t="str">
        <f t="shared" si="52"/>
        <v>5-9 yrs (Senior)</v>
      </c>
      <c r="AM646" t="str">
        <f t="shared" si="53"/>
        <v>Low (&lt;3K)</v>
      </c>
      <c r="AN646" t="str">
        <f t="shared" si="54"/>
        <v>Normal</v>
      </c>
    </row>
    <row r="647" spans="1:40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 t="shared" si="50"/>
        <v>1</v>
      </c>
      <c r="AK647" t="str">
        <f t="shared" si="51"/>
        <v>25-34</v>
      </c>
      <c r="AL647" t="str">
        <f t="shared" si="52"/>
        <v>2-4 yrs (Mid)</v>
      </c>
      <c r="AM647" t="str">
        <f t="shared" si="53"/>
        <v>Low (&lt;3K)</v>
      </c>
      <c r="AN647" t="str">
        <f t="shared" si="54"/>
        <v>Normal</v>
      </c>
    </row>
    <row r="648" spans="1:40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 t="shared" si="50"/>
        <v>0</v>
      </c>
      <c r="AK648" t="str">
        <f t="shared" si="51"/>
        <v>45-54</v>
      </c>
      <c r="AL648" t="str">
        <f t="shared" si="52"/>
        <v>2-4 yrs (Mid)</v>
      </c>
      <c r="AM648" t="str">
        <f t="shared" si="53"/>
        <v>High (7K-12K)</v>
      </c>
      <c r="AN648" t="str">
        <f t="shared" si="54"/>
        <v>Normal</v>
      </c>
    </row>
    <row r="649" spans="1:40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 t="shared" si="50"/>
        <v>0</v>
      </c>
      <c r="AK649" t="str">
        <f t="shared" si="51"/>
        <v>35-44</v>
      </c>
      <c r="AL649" t="str">
        <f t="shared" si="52"/>
        <v>10+ yrs (Veteran)</v>
      </c>
      <c r="AM649" t="str">
        <f t="shared" si="53"/>
        <v>High (7K-12K)</v>
      </c>
      <c r="AN649" t="str">
        <f t="shared" si="54"/>
        <v>Normal</v>
      </c>
    </row>
    <row r="650" spans="1:40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 t="shared" si="50"/>
        <v>0</v>
      </c>
      <c r="AK650" t="str">
        <f t="shared" si="51"/>
        <v>35-44</v>
      </c>
      <c r="AL650" t="str">
        <f t="shared" si="52"/>
        <v>5-9 yrs (Senior)</v>
      </c>
      <c r="AM650" t="str">
        <f t="shared" si="53"/>
        <v>Low (&lt;3K)</v>
      </c>
      <c r="AN650" t="str">
        <f t="shared" si="54"/>
        <v>Normal</v>
      </c>
    </row>
    <row r="651" spans="1:40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 t="shared" si="50"/>
        <v>0</v>
      </c>
      <c r="AK651" t="str">
        <f t="shared" si="51"/>
        <v>45-54</v>
      </c>
      <c r="AL651" t="str">
        <f t="shared" si="52"/>
        <v>10+ yrs (Veteran)</v>
      </c>
      <c r="AM651" t="str">
        <f t="shared" si="53"/>
        <v>Very High (12K+)</v>
      </c>
      <c r="AN651" t="str">
        <f t="shared" si="54"/>
        <v>Normal</v>
      </c>
    </row>
    <row r="652" spans="1:40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 t="shared" si="50"/>
        <v>0</v>
      </c>
      <c r="AK652" t="str">
        <f t="shared" si="51"/>
        <v>35-44</v>
      </c>
      <c r="AL652" t="str">
        <f t="shared" si="52"/>
        <v>5-9 yrs (Senior)</v>
      </c>
      <c r="AM652" t="str">
        <f t="shared" si="53"/>
        <v>Mid (3K-7K)</v>
      </c>
      <c r="AN652" t="str">
        <f t="shared" si="54"/>
        <v>Normal</v>
      </c>
    </row>
    <row r="653" spans="1:40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 t="shared" si="50"/>
        <v>0</v>
      </c>
      <c r="AK653" t="str">
        <f t="shared" si="51"/>
        <v>45-54</v>
      </c>
      <c r="AL653" t="str">
        <f t="shared" si="52"/>
        <v>5-9 yrs (Senior)</v>
      </c>
      <c r="AM653" t="str">
        <f t="shared" si="53"/>
        <v>Mid (3K-7K)</v>
      </c>
      <c r="AN653" t="str">
        <f t="shared" si="54"/>
        <v>Normal</v>
      </c>
    </row>
    <row r="654" spans="1:40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 t="shared" si="50"/>
        <v>0</v>
      </c>
      <c r="AK654" t="str">
        <f t="shared" si="51"/>
        <v>35-44</v>
      </c>
      <c r="AL654" t="str">
        <f t="shared" si="52"/>
        <v>10+ yrs (Veteran)</v>
      </c>
      <c r="AM654" t="str">
        <f t="shared" si="53"/>
        <v>High (7K-12K)</v>
      </c>
      <c r="AN654" t="str">
        <f t="shared" si="54"/>
        <v>High Risk</v>
      </c>
    </row>
    <row r="655" spans="1:40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 t="shared" si="50"/>
        <v>0</v>
      </c>
      <c r="AK655" t="str">
        <f t="shared" si="51"/>
        <v>45-54</v>
      </c>
      <c r="AL655" t="str">
        <f t="shared" si="52"/>
        <v>10+ yrs (Veteran)</v>
      </c>
      <c r="AM655" t="str">
        <f t="shared" si="53"/>
        <v>Very High (12K+)</v>
      </c>
      <c r="AN655" t="str">
        <f t="shared" si="54"/>
        <v>Normal</v>
      </c>
    </row>
    <row r="656" spans="1:40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 t="shared" si="50"/>
        <v>0</v>
      </c>
      <c r="AK656" t="str">
        <f t="shared" si="51"/>
        <v>35-44</v>
      </c>
      <c r="AL656" t="str">
        <f t="shared" si="52"/>
        <v>5-9 yrs (Senior)</v>
      </c>
      <c r="AM656" t="str">
        <f t="shared" si="53"/>
        <v>Mid (3K-7K)</v>
      </c>
      <c r="AN656" t="str">
        <f t="shared" si="54"/>
        <v>Normal</v>
      </c>
    </row>
    <row r="657" spans="1:40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 t="shared" si="50"/>
        <v>0</v>
      </c>
      <c r="AK657" t="str">
        <f t="shared" si="51"/>
        <v>25-34</v>
      </c>
      <c r="AL657" t="str">
        <f t="shared" si="52"/>
        <v>2-4 yrs (Mid)</v>
      </c>
      <c r="AM657" t="str">
        <f t="shared" si="53"/>
        <v>Low (&lt;3K)</v>
      </c>
      <c r="AN657" t="str">
        <f t="shared" si="54"/>
        <v>High Risk</v>
      </c>
    </row>
    <row r="658" spans="1:40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 t="shared" si="50"/>
        <v>1</v>
      </c>
      <c r="AK658" t="str">
        <f t="shared" si="51"/>
        <v>25-34</v>
      </c>
      <c r="AL658" t="str">
        <f t="shared" si="52"/>
        <v>0-1 yrs (New)</v>
      </c>
      <c r="AM658" t="str">
        <f t="shared" si="53"/>
        <v>Low (&lt;3K)</v>
      </c>
      <c r="AN658" t="str">
        <f t="shared" si="54"/>
        <v>Normal</v>
      </c>
    </row>
    <row r="659" spans="1:40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 t="shared" si="50"/>
        <v>0</v>
      </c>
      <c r="AK659" t="str">
        <f t="shared" si="51"/>
        <v>25-34</v>
      </c>
      <c r="AL659" t="str">
        <f t="shared" si="52"/>
        <v>2-4 yrs (Mid)</v>
      </c>
      <c r="AM659" t="str">
        <f t="shared" si="53"/>
        <v>Low (&lt;3K)</v>
      </c>
      <c r="AN659" t="str">
        <f t="shared" si="54"/>
        <v>Normal</v>
      </c>
    </row>
    <row r="660" spans="1:40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 t="shared" si="50"/>
        <v>0</v>
      </c>
      <c r="AK660" t="str">
        <f t="shared" si="51"/>
        <v>35-44</v>
      </c>
      <c r="AL660" t="str">
        <f t="shared" si="52"/>
        <v>5-9 yrs (Senior)</v>
      </c>
      <c r="AM660" t="str">
        <f t="shared" si="53"/>
        <v>Low (&lt;3K)</v>
      </c>
      <c r="AN660" t="str">
        <f t="shared" si="54"/>
        <v>High Risk</v>
      </c>
    </row>
    <row r="661" spans="1:40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 t="shared" si="50"/>
        <v>0</v>
      </c>
      <c r="AK661" t="str">
        <f t="shared" si="51"/>
        <v>25-34</v>
      </c>
      <c r="AL661" t="str">
        <f t="shared" si="52"/>
        <v>2-4 yrs (Mid)</v>
      </c>
      <c r="AM661" t="str">
        <f t="shared" si="53"/>
        <v>Mid (3K-7K)</v>
      </c>
      <c r="AN661" t="str">
        <f t="shared" si="54"/>
        <v>Normal</v>
      </c>
    </row>
    <row r="662" spans="1:40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 t="shared" si="50"/>
        <v>1</v>
      </c>
      <c r="AK662" t="str">
        <f t="shared" si="51"/>
        <v>55+</v>
      </c>
      <c r="AL662" t="str">
        <f t="shared" si="52"/>
        <v>0-1 yrs (New)</v>
      </c>
      <c r="AM662" t="str">
        <f t="shared" si="53"/>
        <v>Low (&lt;3K)</v>
      </c>
      <c r="AN662" t="str">
        <f t="shared" si="54"/>
        <v>Normal</v>
      </c>
    </row>
    <row r="663" spans="1:40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 t="shared" si="50"/>
        <v>0</v>
      </c>
      <c r="AK663" t="str">
        <f t="shared" si="51"/>
        <v>35-44</v>
      </c>
      <c r="AL663" t="str">
        <f t="shared" si="52"/>
        <v>0-1 yrs (New)</v>
      </c>
      <c r="AM663" t="str">
        <f t="shared" si="53"/>
        <v>Mid (3K-7K)</v>
      </c>
      <c r="AN663" t="str">
        <f t="shared" si="54"/>
        <v>Normal</v>
      </c>
    </row>
    <row r="664" spans="1:40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 t="shared" si="50"/>
        <v>1</v>
      </c>
      <c r="AK664" t="str">
        <f t="shared" si="51"/>
        <v>Under 25</v>
      </c>
      <c r="AL664" t="str">
        <f t="shared" si="52"/>
        <v>2-4 yrs (Mid)</v>
      </c>
      <c r="AM664" t="str">
        <f t="shared" si="53"/>
        <v>Low (&lt;3K)</v>
      </c>
      <c r="AN664" t="str">
        <f t="shared" si="54"/>
        <v>Normal</v>
      </c>
    </row>
    <row r="665" spans="1:40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 t="shared" si="50"/>
        <v>1</v>
      </c>
      <c r="AK665" t="str">
        <f t="shared" si="51"/>
        <v>Under 25</v>
      </c>
      <c r="AL665" t="str">
        <f t="shared" si="52"/>
        <v>0-1 yrs (New)</v>
      </c>
      <c r="AM665" t="str">
        <f t="shared" si="53"/>
        <v>Low (&lt;3K)</v>
      </c>
      <c r="AN665" t="str">
        <f t="shared" si="54"/>
        <v>Normal</v>
      </c>
    </row>
    <row r="666" spans="1:40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 t="shared" si="50"/>
        <v>0</v>
      </c>
      <c r="AK666" t="str">
        <f t="shared" si="51"/>
        <v>35-44</v>
      </c>
      <c r="AL666" t="str">
        <f t="shared" si="52"/>
        <v>10+ yrs (Veteran)</v>
      </c>
      <c r="AM666" t="str">
        <f t="shared" si="53"/>
        <v>Mid (3K-7K)</v>
      </c>
      <c r="AN666" t="str">
        <f t="shared" si="54"/>
        <v>Normal</v>
      </c>
    </row>
    <row r="667" spans="1:40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 t="shared" si="50"/>
        <v>0</v>
      </c>
      <c r="AK667" t="str">
        <f t="shared" si="51"/>
        <v>45-54</v>
      </c>
      <c r="AL667" t="str">
        <f t="shared" si="52"/>
        <v>2-4 yrs (Mid)</v>
      </c>
      <c r="AM667" t="str">
        <f t="shared" si="53"/>
        <v>Mid (3K-7K)</v>
      </c>
      <c r="AN667" t="str">
        <f t="shared" si="54"/>
        <v>Normal</v>
      </c>
    </row>
    <row r="668" spans="1:40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 t="shared" si="50"/>
        <v>1</v>
      </c>
      <c r="AK668" t="str">
        <f t="shared" si="51"/>
        <v>Under 25</v>
      </c>
      <c r="AL668" t="str">
        <f t="shared" si="52"/>
        <v>2-4 yrs (Mid)</v>
      </c>
      <c r="AM668" t="str">
        <f t="shared" si="53"/>
        <v>Mid (3K-7K)</v>
      </c>
      <c r="AN668" t="str">
        <f t="shared" si="54"/>
        <v>Normal</v>
      </c>
    </row>
    <row r="669" spans="1:40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 t="shared" si="50"/>
        <v>1</v>
      </c>
      <c r="AK669" t="str">
        <f t="shared" si="51"/>
        <v>35-44</v>
      </c>
      <c r="AL669" t="str">
        <f t="shared" si="52"/>
        <v>5-9 yrs (Senior)</v>
      </c>
      <c r="AM669" t="str">
        <f t="shared" si="53"/>
        <v>Low (&lt;3K)</v>
      </c>
      <c r="AN669" t="str">
        <f t="shared" si="54"/>
        <v>Normal</v>
      </c>
    </row>
    <row r="670" spans="1:40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 t="shared" si="50"/>
        <v>0</v>
      </c>
      <c r="AK670" t="str">
        <f t="shared" si="51"/>
        <v>25-34</v>
      </c>
      <c r="AL670" t="str">
        <f t="shared" si="52"/>
        <v>2-4 yrs (Mid)</v>
      </c>
      <c r="AM670" t="str">
        <f t="shared" si="53"/>
        <v>Low (&lt;3K)</v>
      </c>
      <c r="AN670" t="str">
        <f t="shared" si="54"/>
        <v>Normal</v>
      </c>
    </row>
    <row r="671" spans="1:40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 t="shared" si="50"/>
        <v>1</v>
      </c>
      <c r="AK671" t="str">
        <f t="shared" si="51"/>
        <v>35-44</v>
      </c>
      <c r="AL671" t="str">
        <f t="shared" si="52"/>
        <v>2-4 yrs (Mid)</v>
      </c>
      <c r="AM671" t="str">
        <f t="shared" si="53"/>
        <v>Low (&lt;3K)</v>
      </c>
      <c r="AN671" t="str">
        <f t="shared" si="54"/>
        <v>High Risk</v>
      </c>
    </row>
    <row r="672" spans="1:40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 t="shared" si="50"/>
        <v>0</v>
      </c>
      <c r="AK672" t="str">
        <f t="shared" si="51"/>
        <v>25-34</v>
      </c>
      <c r="AL672" t="str">
        <f t="shared" si="52"/>
        <v>0-1 yrs (New)</v>
      </c>
      <c r="AM672" t="str">
        <f t="shared" si="53"/>
        <v>Low (&lt;3K)</v>
      </c>
      <c r="AN672" t="str">
        <f t="shared" si="54"/>
        <v>Normal</v>
      </c>
    </row>
    <row r="673" spans="1:40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 t="shared" si="50"/>
        <v>0</v>
      </c>
      <c r="AK673" t="str">
        <f t="shared" si="51"/>
        <v>25-34</v>
      </c>
      <c r="AL673" t="str">
        <f t="shared" si="52"/>
        <v>0-1 yrs (New)</v>
      </c>
      <c r="AM673" t="str">
        <f t="shared" si="53"/>
        <v>Low (&lt;3K)</v>
      </c>
      <c r="AN673" t="str">
        <f t="shared" si="54"/>
        <v>Normal</v>
      </c>
    </row>
    <row r="674" spans="1:40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 t="shared" si="50"/>
        <v>0</v>
      </c>
      <c r="AK674" t="str">
        <f t="shared" si="51"/>
        <v>35-44</v>
      </c>
      <c r="AL674" t="str">
        <f t="shared" si="52"/>
        <v>5-9 yrs (Senior)</v>
      </c>
      <c r="AM674" t="str">
        <f t="shared" si="53"/>
        <v>Mid (3K-7K)</v>
      </c>
      <c r="AN674" t="str">
        <f t="shared" si="54"/>
        <v>Normal</v>
      </c>
    </row>
    <row r="675" spans="1:40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 t="shared" si="50"/>
        <v>0</v>
      </c>
      <c r="AK675" t="str">
        <f t="shared" si="51"/>
        <v>25-34</v>
      </c>
      <c r="AL675" t="str">
        <f t="shared" si="52"/>
        <v>2-4 yrs (Mid)</v>
      </c>
      <c r="AM675" t="str">
        <f t="shared" si="53"/>
        <v>Low (&lt;3K)</v>
      </c>
      <c r="AN675" t="str">
        <f t="shared" si="54"/>
        <v>High Risk</v>
      </c>
    </row>
    <row r="676" spans="1:40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 t="shared" si="50"/>
        <v>0</v>
      </c>
      <c r="AK676" t="str">
        <f t="shared" si="51"/>
        <v>55+</v>
      </c>
      <c r="AL676" t="str">
        <f t="shared" si="52"/>
        <v>5-9 yrs (Senior)</v>
      </c>
      <c r="AM676" t="str">
        <f t="shared" si="53"/>
        <v>High (7K-12K)</v>
      </c>
      <c r="AN676" t="str">
        <f t="shared" si="54"/>
        <v>High Risk</v>
      </c>
    </row>
    <row r="677" spans="1:40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 t="shared" si="50"/>
        <v>0</v>
      </c>
      <c r="AK677" t="str">
        <f t="shared" si="51"/>
        <v>25-34</v>
      </c>
      <c r="AL677" t="str">
        <f t="shared" si="52"/>
        <v>5-9 yrs (Senior)</v>
      </c>
      <c r="AM677" t="str">
        <f t="shared" si="53"/>
        <v>Low (&lt;3K)</v>
      </c>
      <c r="AN677" t="str">
        <f t="shared" si="54"/>
        <v>Normal</v>
      </c>
    </row>
    <row r="678" spans="1:40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 t="shared" si="50"/>
        <v>0</v>
      </c>
      <c r="AK678" t="str">
        <f t="shared" si="51"/>
        <v>35-44</v>
      </c>
      <c r="AL678" t="str">
        <f t="shared" si="52"/>
        <v>10+ yrs (Veteran)</v>
      </c>
      <c r="AM678" t="str">
        <f t="shared" si="53"/>
        <v>Mid (3K-7K)</v>
      </c>
      <c r="AN678" t="str">
        <f t="shared" si="54"/>
        <v>Normal</v>
      </c>
    </row>
    <row r="679" spans="1:40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 t="shared" si="50"/>
        <v>0</v>
      </c>
      <c r="AK679" t="str">
        <f t="shared" si="51"/>
        <v>45-54</v>
      </c>
      <c r="AL679" t="str">
        <f t="shared" si="52"/>
        <v>10+ yrs (Veteran)</v>
      </c>
      <c r="AM679" t="str">
        <f t="shared" si="53"/>
        <v>High (7K-12K)</v>
      </c>
      <c r="AN679" t="str">
        <f t="shared" si="54"/>
        <v>Normal</v>
      </c>
    </row>
    <row r="680" spans="1:40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 t="shared" si="50"/>
        <v>0</v>
      </c>
      <c r="AK680" t="str">
        <f t="shared" si="51"/>
        <v>45-54</v>
      </c>
      <c r="AL680" t="str">
        <f t="shared" si="52"/>
        <v>0-1 yrs (New)</v>
      </c>
      <c r="AM680" t="str">
        <f t="shared" si="53"/>
        <v>Low (&lt;3K)</v>
      </c>
      <c r="AN680" t="str">
        <f t="shared" si="54"/>
        <v>Normal</v>
      </c>
    </row>
    <row r="681" spans="1:40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 t="shared" si="50"/>
        <v>0</v>
      </c>
      <c r="AK681" t="str">
        <f t="shared" si="51"/>
        <v>25-34</v>
      </c>
      <c r="AL681" t="str">
        <f t="shared" si="52"/>
        <v>5-9 yrs (Senior)</v>
      </c>
      <c r="AM681" t="str">
        <f t="shared" si="53"/>
        <v>Mid (3K-7K)</v>
      </c>
      <c r="AN681" t="str">
        <f t="shared" si="54"/>
        <v>Normal</v>
      </c>
    </row>
    <row r="682" spans="1:40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 t="shared" si="50"/>
        <v>0</v>
      </c>
      <c r="AK682" t="str">
        <f t="shared" si="51"/>
        <v>35-44</v>
      </c>
      <c r="AL682" t="str">
        <f t="shared" si="52"/>
        <v>5-9 yrs (Senior)</v>
      </c>
      <c r="AM682" t="str">
        <f t="shared" si="53"/>
        <v>Mid (3K-7K)</v>
      </c>
      <c r="AN682" t="str">
        <f t="shared" si="54"/>
        <v>Normal</v>
      </c>
    </row>
    <row r="683" spans="1:40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 t="shared" si="50"/>
        <v>0</v>
      </c>
      <c r="AK683" t="str">
        <f t="shared" si="51"/>
        <v>35-44</v>
      </c>
      <c r="AL683" t="str">
        <f t="shared" si="52"/>
        <v>10+ yrs (Veteran)</v>
      </c>
      <c r="AM683" t="str">
        <f t="shared" si="53"/>
        <v>Very High (12K+)</v>
      </c>
      <c r="AN683" t="str">
        <f t="shared" si="54"/>
        <v>Normal</v>
      </c>
    </row>
    <row r="684" spans="1:40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 t="shared" si="50"/>
        <v>0</v>
      </c>
      <c r="AK684" t="str">
        <f t="shared" si="51"/>
        <v>25-34</v>
      </c>
      <c r="AL684" t="str">
        <f t="shared" si="52"/>
        <v>2-4 yrs (Mid)</v>
      </c>
      <c r="AM684" t="str">
        <f t="shared" si="53"/>
        <v>Low (&lt;3K)</v>
      </c>
      <c r="AN684" t="str">
        <f t="shared" si="54"/>
        <v>Normal</v>
      </c>
    </row>
    <row r="685" spans="1:40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 t="shared" si="50"/>
        <v>1</v>
      </c>
      <c r="AK685" t="str">
        <f t="shared" si="51"/>
        <v>25-34</v>
      </c>
      <c r="AL685" t="str">
        <f t="shared" si="52"/>
        <v>0-1 yrs (New)</v>
      </c>
      <c r="AM685" t="str">
        <f t="shared" si="53"/>
        <v>Low (&lt;3K)</v>
      </c>
      <c r="AN685" t="str">
        <f t="shared" si="54"/>
        <v>High Risk</v>
      </c>
    </row>
    <row r="686" spans="1:40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 t="shared" si="50"/>
        <v>0</v>
      </c>
      <c r="AK686" t="str">
        <f t="shared" si="51"/>
        <v>35-44</v>
      </c>
      <c r="AL686" t="str">
        <f t="shared" si="52"/>
        <v>0-1 yrs (New)</v>
      </c>
      <c r="AM686" t="str">
        <f t="shared" si="53"/>
        <v>High (7K-12K)</v>
      </c>
      <c r="AN686" t="str">
        <f t="shared" si="54"/>
        <v>Normal</v>
      </c>
    </row>
    <row r="687" spans="1:40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 t="shared" si="50"/>
        <v>0</v>
      </c>
      <c r="AK687" t="str">
        <f t="shared" si="51"/>
        <v>25-34</v>
      </c>
      <c r="AL687" t="str">
        <f t="shared" si="52"/>
        <v>5-9 yrs (Senior)</v>
      </c>
      <c r="AM687" t="str">
        <f t="shared" si="53"/>
        <v>Mid (3K-7K)</v>
      </c>
      <c r="AN687" t="str">
        <f t="shared" si="54"/>
        <v>Normal</v>
      </c>
    </row>
    <row r="688" spans="1:40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 t="shared" si="50"/>
        <v>0</v>
      </c>
      <c r="AK688" t="str">
        <f t="shared" si="51"/>
        <v>35-44</v>
      </c>
      <c r="AL688" t="str">
        <f t="shared" si="52"/>
        <v>10+ yrs (Veteran)</v>
      </c>
      <c r="AM688" t="str">
        <f t="shared" si="53"/>
        <v>Mid (3K-7K)</v>
      </c>
      <c r="AN688" t="str">
        <f t="shared" si="54"/>
        <v>High Risk</v>
      </c>
    </row>
    <row r="689" spans="1:40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 t="shared" si="50"/>
        <v>0</v>
      </c>
      <c r="AK689" t="str">
        <f t="shared" si="51"/>
        <v>35-44</v>
      </c>
      <c r="AL689" t="str">
        <f t="shared" si="52"/>
        <v>10+ yrs (Veteran)</v>
      </c>
      <c r="AM689" t="str">
        <f t="shared" si="53"/>
        <v>Low (&lt;3K)</v>
      </c>
      <c r="AN689" t="str">
        <f t="shared" si="54"/>
        <v>Normal</v>
      </c>
    </row>
    <row r="690" spans="1:40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 t="shared" si="50"/>
        <v>1</v>
      </c>
      <c r="AK690" t="str">
        <f t="shared" si="51"/>
        <v>Under 25</v>
      </c>
      <c r="AL690" t="str">
        <f t="shared" si="52"/>
        <v>0-1 yrs (New)</v>
      </c>
      <c r="AM690" t="str">
        <f t="shared" si="53"/>
        <v>Low (&lt;3K)</v>
      </c>
      <c r="AN690" t="str">
        <f t="shared" si="54"/>
        <v>High Risk</v>
      </c>
    </row>
    <row r="691" spans="1:40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 t="shared" si="50"/>
        <v>1</v>
      </c>
      <c r="AK691" t="str">
        <f t="shared" si="51"/>
        <v>Under 25</v>
      </c>
      <c r="AL691" t="str">
        <f t="shared" si="52"/>
        <v>0-1 yrs (New)</v>
      </c>
      <c r="AM691" t="str">
        <f t="shared" si="53"/>
        <v>Low (&lt;3K)</v>
      </c>
      <c r="AN691" t="str">
        <f t="shared" si="54"/>
        <v>Normal</v>
      </c>
    </row>
    <row r="692" spans="1:40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 t="shared" si="50"/>
        <v>0</v>
      </c>
      <c r="AK692" t="str">
        <f t="shared" si="51"/>
        <v>25-34</v>
      </c>
      <c r="AL692" t="str">
        <f t="shared" si="52"/>
        <v>5-9 yrs (Senior)</v>
      </c>
      <c r="AM692" t="str">
        <f t="shared" si="53"/>
        <v>Mid (3K-7K)</v>
      </c>
      <c r="AN692" t="str">
        <f t="shared" si="54"/>
        <v>Normal</v>
      </c>
    </row>
    <row r="693" spans="1:40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 t="shared" si="50"/>
        <v>0</v>
      </c>
      <c r="AK693" t="str">
        <f t="shared" si="51"/>
        <v>35-44</v>
      </c>
      <c r="AL693" t="str">
        <f t="shared" si="52"/>
        <v>0-1 yrs (New)</v>
      </c>
      <c r="AM693" t="str">
        <f t="shared" si="53"/>
        <v>Mid (3K-7K)</v>
      </c>
      <c r="AN693" t="str">
        <f t="shared" si="54"/>
        <v>High Risk</v>
      </c>
    </row>
    <row r="694" spans="1:40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 t="shared" si="50"/>
        <v>0</v>
      </c>
      <c r="AK694" t="str">
        <f t="shared" si="51"/>
        <v>25-34</v>
      </c>
      <c r="AL694" t="str">
        <f t="shared" si="52"/>
        <v>5-9 yrs (Senior)</v>
      </c>
      <c r="AM694" t="str">
        <f t="shared" si="53"/>
        <v>Mid (3K-7K)</v>
      </c>
      <c r="AN694" t="str">
        <f t="shared" si="54"/>
        <v>Normal</v>
      </c>
    </row>
    <row r="695" spans="1:40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 t="shared" si="50"/>
        <v>1</v>
      </c>
      <c r="AK695" t="str">
        <f t="shared" si="51"/>
        <v>35-44</v>
      </c>
      <c r="AL695" t="str">
        <f t="shared" si="52"/>
        <v>10+ yrs (Veteran)</v>
      </c>
      <c r="AM695" t="str">
        <f t="shared" si="53"/>
        <v>High (7K-12K)</v>
      </c>
      <c r="AN695" t="str">
        <f t="shared" si="54"/>
        <v>Normal</v>
      </c>
    </row>
    <row r="696" spans="1:40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 t="shared" si="50"/>
        <v>0</v>
      </c>
      <c r="AK696" t="str">
        <f t="shared" si="51"/>
        <v>25-34</v>
      </c>
      <c r="AL696" t="str">
        <f t="shared" si="52"/>
        <v>5-9 yrs (Senior)</v>
      </c>
      <c r="AM696" t="str">
        <f t="shared" si="53"/>
        <v>Mid (3K-7K)</v>
      </c>
      <c r="AN696" t="str">
        <f t="shared" si="54"/>
        <v>Normal</v>
      </c>
    </row>
    <row r="697" spans="1:40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 t="shared" si="50"/>
        <v>1</v>
      </c>
      <c r="AK697" t="str">
        <f t="shared" si="51"/>
        <v>35-44</v>
      </c>
      <c r="AL697" t="str">
        <f t="shared" si="52"/>
        <v>10+ yrs (Veteran)</v>
      </c>
      <c r="AM697" t="str">
        <f t="shared" si="53"/>
        <v>High (7K-12K)</v>
      </c>
      <c r="AN697" t="str">
        <f t="shared" si="54"/>
        <v>Normal</v>
      </c>
    </row>
    <row r="698" spans="1:40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 t="shared" si="50"/>
        <v>0</v>
      </c>
      <c r="AK698" t="str">
        <f t="shared" si="51"/>
        <v>45-54</v>
      </c>
      <c r="AL698" t="str">
        <f t="shared" si="52"/>
        <v>5-9 yrs (Senior)</v>
      </c>
      <c r="AM698" t="str">
        <f t="shared" si="53"/>
        <v>Mid (3K-7K)</v>
      </c>
      <c r="AN698" t="str">
        <f t="shared" si="54"/>
        <v>Normal</v>
      </c>
    </row>
    <row r="699" spans="1:40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 t="shared" si="50"/>
        <v>0</v>
      </c>
      <c r="AK699" t="str">
        <f t="shared" si="51"/>
        <v>25-34</v>
      </c>
      <c r="AL699" t="str">
        <f t="shared" si="52"/>
        <v>2-4 yrs (Mid)</v>
      </c>
      <c r="AM699" t="str">
        <f t="shared" si="53"/>
        <v>Low (&lt;3K)</v>
      </c>
      <c r="AN699" t="str">
        <f t="shared" si="54"/>
        <v>Normal</v>
      </c>
    </row>
    <row r="700" spans="1:40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 t="shared" si="50"/>
        <v>0</v>
      </c>
      <c r="AK700" t="str">
        <f t="shared" si="51"/>
        <v>35-44</v>
      </c>
      <c r="AL700" t="str">
        <f t="shared" si="52"/>
        <v>5-9 yrs (Senior)</v>
      </c>
      <c r="AM700" t="str">
        <f t="shared" si="53"/>
        <v>Mid (3K-7K)</v>
      </c>
      <c r="AN700" t="str">
        <f t="shared" si="54"/>
        <v>Normal</v>
      </c>
    </row>
    <row r="701" spans="1:40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 t="shared" si="50"/>
        <v>0</v>
      </c>
      <c r="AK701" t="str">
        <f t="shared" si="51"/>
        <v>45-54</v>
      </c>
      <c r="AL701" t="str">
        <f t="shared" si="52"/>
        <v>5-9 yrs (Senior)</v>
      </c>
      <c r="AM701" t="str">
        <f t="shared" si="53"/>
        <v>Very High (12K+)</v>
      </c>
      <c r="AN701" t="str">
        <f t="shared" si="54"/>
        <v>Normal</v>
      </c>
    </row>
    <row r="702" spans="1:40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 t="shared" si="50"/>
        <v>1</v>
      </c>
      <c r="AK702" t="str">
        <f t="shared" si="51"/>
        <v>55+</v>
      </c>
      <c r="AL702" t="str">
        <f t="shared" si="52"/>
        <v>0-1 yrs (New)</v>
      </c>
      <c r="AM702" t="str">
        <f t="shared" si="53"/>
        <v>Low (&lt;3K)</v>
      </c>
      <c r="AN702" t="str">
        <f t="shared" si="54"/>
        <v>Normal</v>
      </c>
    </row>
    <row r="703" spans="1:40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 t="shared" si="50"/>
        <v>0</v>
      </c>
      <c r="AK703" t="str">
        <f t="shared" si="51"/>
        <v>45-54</v>
      </c>
      <c r="AL703" t="str">
        <f t="shared" si="52"/>
        <v>10+ yrs (Veteran)</v>
      </c>
      <c r="AM703" t="str">
        <f t="shared" si="53"/>
        <v>Very High (12K+)</v>
      </c>
      <c r="AN703" t="str">
        <f t="shared" si="54"/>
        <v>Normal</v>
      </c>
    </row>
    <row r="704" spans="1:40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 t="shared" si="50"/>
        <v>0</v>
      </c>
      <c r="AK704" t="str">
        <f t="shared" si="51"/>
        <v>25-34</v>
      </c>
      <c r="AL704" t="str">
        <f t="shared" si="52"/>
        <v>5-9 yrs (Senior)</v>
      </c>
      <c r="AM704" t="str">
        <f t="shared" si="53"/>
        <v>High (7K-12K)</v>
      </c>
      <c r="AN704" t="str">
        <f t="shared" si="54"/>
        <v>Normal</v>
      </c>
    </row>
    <row r="705" spans="1:40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 t="shared" si="50"/>
        <v>0</v>
      </c>
      <c r="AK705" t="str">
        <f t="shared" si="51"/>
        <v>35-44</v>
      </c>
      <c r="AL705" t="str">
        <f t="shared" si="52"/>
        <v>5-9 yrs (Senior)</v>
      </c>
      <c r="AM705" t="str">
        <f t="shared" si="53"/>
        <v>Mid (3K-7K)</v>
      </c>
      <c r="AN705" t="str">
        <f t="shared" si="54"/>
        <v>Normal</v>
      </c>
    </row>
    <row r="706" spans="1:40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 t="shared" si="50"/>
        <v>0</v>
      </c>
      <c r="AK706" t="str">
        <f t="shared" si="51"/>
        <v>35-44</v>
      </c>
      <c r="AL706" t="str">
        <f t="shared" si="52"/>
        <v>10+ yrs (Veteran)</v>
      </c>
      <c r="AM706" t="str">
        <f t="shared" si="53"/>
        <v>High (7K-12K)</v>
      </c>
      <c r="AN706" t="str">
        <f t="shared" si="54"/>
        <v>Normal</v>
      </c>
    </row>
    <row r="707" spans="1:40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 t="shared" ref="AJ707:AJ770" si="55">IF(B707="Yes", 1, 0)</f>
        <v>0</v>
      </c>
      <c r="AK707" t="str">
        <f t="shared" ref="AK707:AK770" si="56">IF(A707&lt;25, "Under 25", IF(A707&lt;35, "25-34", IF(A707&lt;45, "35-44", IF(A707&lt;55, "45-54", "55+"))))</f>
        <v>35-44</v>
      </c>
      <c r="AL707" t="str">
        <f t="shared" ref="AL707:AL770" si="57">IF(AF707&lt;2, "0-1 yrs (New)", IF(AF707&lt;5, "2-4 yrs (Mid)", IF(AF707&lt;10, "5-9 yrs (Senior)", "10+ yrs (Veteran)")))</f>
        <v>5-9 yrs (Senior)</v>
      </c>
      <c r="AM707" t="str">
        <f t="shared" ref="AM707:AM770" si="58">IF(S707&lt;3000, "Low (&lt;3K)", IF(S707&lt;7000, "Mid (3K-7K)", IF(S707&lt;12000, "High (7K-12K)", "Very High (12K+)")))</f>
        <v>High (7K-12K)</v>
      </c>
      <c r="AN707" t="str">
        <f t="shared" ref="AN707:AN770" si="59">IF(AND(W707="Yes", Q707&lt;=2), "High Risk", "Normal")</f>
        <v>Normal</v>
      </c>
    </row>
    <row r="708" spans="1:40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 t="shared" si="55"/>
        <v>1</v>
      </c>
      <c r="AK708" t="str">
        <f t="shared" si="56"/>
        <v>35-44</v>
      </c>
      <c r="AL708" t="str">
        <f t="shared" si="57"/>
        <v>0-1 yrs (New)</v>
      </c>
      <c r="AM708" t="str">
        <f t="shared" si="58"/>
        <v>Very High (12K+)</v>
      </c>
      <c r="AN708" t="str">
        <f t="shared" si="59"/>
        <v>High Risk</v>
      </c>
    </row>
    <row r="709" spans="1:40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 t="shared" si="55"/>
        <v>0</v>
      </c>
      <c r="AK709" t="str">
        <f t="shared" si="56"/>
        <v>45-54</v>
      </c>
      <c r="AL709" t="str">
        <f t="shared" si="57"/>
        <v>10+ yrs (Veteran)</v>
      </c>
      <c r="AM709" t="str">
        <f t="shared" si="58"/>
        <v>Mid (3K-7K)</v>
      </c>
      <c r="AN709" t="str">
        <f t="shared" si="59"/>
        <v>Normal</v>
      </c>
    </row>
    <row r="710" spans="1:40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 t="shared" si="55"/>
        <v>0</v>
      </c>
      <c r="AK710" t="str">
        <f t="shared" si="56"/>
        <v>35-44</v>
      </c>
      <c r="AL710" t="str">
        <f t="shared" si="57"/>
        <v>5-9 yrs (Senior)</v>
      </c>
      <c r="AM710" t="str">
        <f t="shared" si="58"/>
        <v>Mid (3K-7K)</v>
      </c>
      <c r="AN710" t="str">
        <f t="shared" si="59"/>
        <v>Normal</v>
      </c>
    </row>
    <row r="711" spans="1:40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 t="shared" si="55"/>
        <v>1</v>
      </c>
      <c r="AK711" t="str">
        <f t="shared" si="56"/>
        <v>25-34</v>
      </c>
      <c r="AL711" t="str">
        <f t="shared" si="57"/>
        <v>2-4 yrs (Mid)</v>
      </c>
      <c r="AM711" t="str">
        <f t="shared" si="58"/>
        <v>Low (&lt;3K)</v>
      </c>
      <c r="AN711" t="str">
        <f t="shared" si="59"/>
        <v>High Risk</v>
      </c>
    </row>
    <row r="712" spans="1:40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 t="shared" si="55"/>
        <v>0</v>
      </c>
      <c r="AK712" t="str">
        <f t="shared" si="56"/>
        <v>25-34</v>
      </c>
      <c r="AL712" t="str">
        <f t="shared" si="57"/>
        <v>10+ yrs (Veteran)</v>
      </c>
      <c r="AM712" t="str">
        <f t="shared" si="58"/>
        <v>Very High (12K+)</v>
      </c>
      <c r="AN712" t="str">
        <f t="shared" si="59"/>
        <v>Normal</v>
      </c>
    </row>
    <row r="713" spans="1:40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 t="shared" si="55"/>
        <v>1</v>
      </c>
      <c r="AK713" t="str">
        <f t="shared" si="56"/>
        <v>25-34</v>
      </c>
      <c r="AL713" t="str">
        <f t="shared" si="57"/>
        <v>0-1 yrs (New)</v>
      </c>
      <c r="AM713" t="str">
        <f t="shared" si="58"/>
        <v>Low (&lt;3K)</v>
      </c>
      <c r="AN713" t="str">
        <f t="shared" si="59"/>
        <v>High Risk</v>
      </c>
    </row>
    <row r="714" spans="1:40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 t="shared" si="55"/>
        <v>0</v>
      </c>
      <c r="AK714" t="str">
        <f t="shared" si="56"/>
        <v>25-34</v>
      </c>
      <c r="AL714" t="str">
        <f t="shared" si="57"/>
        <v>2-4 yrs (Mid)</v>
      </c>
      <c r="AM714" t="str">
        <f t="shared" si="58"/>
        <v>Mid (3K-7K)</v>
      </c>
      <c r="AN714" t="str">
        <f t="shared" si="59"/>
        <v>Normal</v>
      </c>
    </row>
    <row r="715" spans="1:40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 t="shared" si="55"/>
        <v>0</v>
      </c>
      <c r="AK715" t="str">
        <f t="shared" si="56"/>
        <v>45-54</v>
      </c>
      <c r="AL715" t="str">
        <f t="shared" si="57"/>
        <v>5-9 yrs (Senior)</v>
      </c>
      <c r="AM715" t="str">
        <f t="shared" si="58"/>
        <v>Low (&lt;3K)</v>
      </c>
      <c r="AN715" t="str">
        <f t="shared" si="59"/>
        <v>Normal</v>
      </c>
    </row>
    <row r="716" spans="1:40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 t="shared" si="55"/>
        <v>0</v>
      </c>
      <c r="AK716" t="str">
        <f t="shared" si="56"/>
        <v>45-54</v>
      </c>
      <c r="AL716" t="str">
        <f t="shared" si="57"/>
        <v>5-9 yrs (Senior)</v>
      </c>
      <c r="AM716" t="str">
        <f t="shared" si="58"/>
        <v>Very High (12K+)</v>
      </c>
      <c r="AN716" t="str">
        <f t="shared" si="59"/>
        <v>Normal</v>
      </c>
    </row>
    <row r="717" spans="1:40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 t="shared" si="55"/>
        <v>0</v>
      </c>
      <c r="AK717" t="str">
        <f t="shared" si="56"/>
        <v>25-34</v>
      </c>
      <c r="AL717" t="str">
        <f t="shared" si="57"/>
        <v>5-9 yrs (Senior)</v>
      </c>
      <c r="AM717" t="str">
        <f t="shared" si="58"/>
        <v>Mid (3K-7K)</v>
      </c>
      <c r="AN717" t="str">
        <f t="shared" si="59"/>
        <v>High Risk</v>
      </c>
    </row>
    <row r="718" spans="1:40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 t="shared" si="55"/>
        <v>0</v>
      </c>
      <c r="AK718" t="str">
        <f t="shared" si="56"/>
        <v>35-44</v>
      </c>
      <c r="AL718" t="str">
        <f t="shared" si="57"/>
        <v>10+ yrs (Veteran)</v>
      </c>
      <c r="AM718" t="str">
        <f t="shared" si="58"/>
        <v>Very High (12K+)</v>
      </c>
      <c r="AN718" t="str">
        <f t="shared" si="59"/>
        <v>Normal</v>
      </c>
    </row>
    <row r="719" spans="1:40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 t="shared" si="55"/>
        <v>0</v>
      </c>
      <c r="AK719" t="str">
        <f t="shared" si="56"/>
        <v>25-34</v>
      </c>
      <c r="AL719" t="str">
        <f t="shared" si="57"/>
        <v>2-4 yrs (Mid)</v>
      </c>
      <c r="AM719" t="str">
        <f t="shared" si="58"/>
        <v>Low (&lt;3K)</v>
      </c>
      <c r="AN719" t="str">
        <f t="shared" si="59"/>
        <v>Normal</v>
      </c>
    </row>
    <row r="720" spans="1:40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 t="shared" si="55"/>
        <v>0</v>
      </c>
      <c r="AK720" t="str">
        <f t="shared" si="56"/>
        <v>45-54</v>
      </c>
      <c r="AL720" t="str">
        <f t="shared" si="57"/>
        <v>5-9 yrs (Senior)</v>
      </c>
      <c r="AM720" t="str">
        <f t="shared" si="58"/>
        <v>Mid (3K-7K)</v>
      </c>
      <c r="AN720" t="str">
        <f t="shared" si="59"/>
        <v>High Risk</v>
      </c>
    </row>
    <row r="721" spans="1:40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 t="shared" si="55"/>
        <v>0</v>
      </c>
      <c r="AK721" t="str">
        <f t="shared" si="56"/>
        <v>45-54</v>
      </c>
      <c r="AL721" t="str">
        <f t="shared" si="57"/>
        <v>5-9 yrs (Senior)</v>
      </c>
      <c r="AM721" t="str">
        <f t="shared" si="58"/>
        <v>Mid (3K-7K)</v>
      </c>
      <c r="AN721" t="str">
        <f t="shared" si="59"/>
        <v>Normal</v>
      </c>
    </row>
    <row r="722" spans="1:40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 t="shared" si="55"/>
        <v>1</v>
      </c>
      <c r="AK722" t="str">
        <f t="shared" si="56"/>
        <v>25-34</v>
      </c>
      <c r="AL722" t="str">
        <f t="shared" si="57"/>
        <v>5-9 yrs (Senior)</v>
      </c>
      <c r="AM722" t="str">
        <f t="shared" si="58"/>
        <v>Low (&lt;3K)</v>
      </c>
      <c r="AN722" t="str">
        <f t="shared" si="59"/>
        <v>Normal</v>
      </c>
    </row>
    <row r="723" spans="1:40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 t="shared" si="55"/>
        <v>0</v>
      </c>
      <c r="AK723" t="str">
        <f t="shared" si="56"/>
        <v>45-54</v>
      </c>
      <c r="AL723" t="str">
        <f t="shared" si="57"/>
        <v>10+ yrs (Veteran)</v>
      </c>
      <c r="AM723" t="str">
        <f t="shared" si="58"/>
        <v>Very High (12K+)</v>
      </c>
      <c r="AN723" t="str">
        <f t="shared" si="59"/>
        <v>Normal</v>
      </c>
    </row>
    <row r="724" spans="1:40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 t="shared" si="55"/>
        <v>0</v>
      </c>
      <c r="AK724" t="str">
        <f t="shared" si="56"/>
        <v>35-44</v>
      </c>
      <c r="AL724" t="str">
        <f t="shared" si="57"/>
        <v>2-4 yrs (Mid)</v>
      </c>
      <c r="AM724" t="str">
        <f t="shared" si="58"/>
        <v>Low (&lt;3K)</v>
      </c>
      <c r="AN724" t="str">
        <f t="shared" si="59"/>
        <v>Normal</v>
      </c>
    </row>
    <row r="725" spans="1:40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 t="shared" si="55"/>
        <v>0</v>
      </c>
      <c r="AK725" t="str">
        <f t="shared" si="56"/>
        <v>45-54</v>
      </c>
      <c r="AL725" t="str">
        <f t="shared" si="57"/>
        <v>5-9 yrs (Senior)</v>
      </c>
      <c r="AM725" t="str">
        <f t="shared" si="58"/>
        <v>High (7K-12K)</v>
      </c>
      <c r="AN725" t="str">
        <f t="shared" si="59"/>
        <v>Normal</v>
      </c>
    </row>
    <row r="726" spans="1:40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 t="shared" si="55"/>
        <v>0</v>
      </c>
      <c r="AK726" t="str">
        <f t="shared" si="56"/>
        <v>Under 25</v>
      </c>
      <c r="AL726" t="str">
        <f t="shared" si="57"/>
        <v>2-4 yrs (Mid)</v>
      </c>
      <c r="AM726" t="str">
        <f t="shared" si="58"/>
        <v>Mid (3K-7K)</v>
      </c>
      <c r="AN726" t="str">
        <f t="shared" si="59"/>
        <v>Normal</v>
      </c>
    </row>
    <row r="727" spans="1:40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 t="shared" si="55"/>
        <v>1</v>
      </c>
      <c r="AK727" t="str">
        <f t="shared" si="56"/>
        <v>35-44</v>
      </c>
      <c r="AL727" t="str">
        <f t="shared" si="57"/>
        <v>2-4 yrs (Mid)</v>
      </c>
      <c r="AM727" t="str">
        <f t="shared" si="58"/>
        <v>Mid (3K-7K)</v>
      </c>
      <c r="AN727" t="str">
        <f t="shared" si="59"/>
        <v>High Risk</v>
      </c>
    </row>
    <row r="728" spans="1:40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 t="shared" si="55"/>
        <v>0</v>
      </c>
      <c r="AK728" t="str">
        <f t="shared" si="56"/>
        <v>25-34</v>
      </c>
      <c r="AL728" t="str">
        <f t="shared" si="57"/>
        <v>2-4 yrs (Mid)</v>
      </c>
      <c r="AM728" t="str">
        <f t="shared" si="58"/>
        <v>Mid (3K-7K)</v>
      </c>
      <c r="AN728" t="str">
        <f t="shared" si="59"/>
        <v>Normal</v>
      </c>
    </row>
    <row r="729" spans="1:40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 t="shared" si="55"/>
        <v>0</v>
      </c>
      <c r="AK729" t="str">
        <f t="shared" si="56"/>
        <v>Under 25</v>
      </c>
      <c r="AL729" t="str">
        <f t="shared" si="57"/>
        <v>0-1 yrs (New)</v>
      </c>
      <c r="AM729" t="str">
        <f t="shared" si="58"/>
        <v>Low (&lt;3K)</v>
      </c>
      <c r="AN729" t="str">
        <f t="shared" si="59"/>
        <v>Normal</v>
      </c>
    </row>
    <row r="730" spans="1:40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 t="shared" si="55"/>
        <v>0</v>
      </c>
      <c r="AK730" t="str">
        <f t="shared" si="56"/>
        <v>45-54</v>
      </c>
      <c r="AL730" t="str">
        <f t="shared" si="57"/>
        <v>10+ yrs (Veteran)</v>
      </c>
      <c r="AM730" t="str">
        <f t="shared" si="58"/>
        <v>High (7K-12K)</v>
      </c>
      <c r="AN730" t="str">
        <f t="shared" si="59"/>
        <v>Normal</v>
      </c>
    </row>
    <row r="731" spans="1:40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 t="shared" si="55"/>
        <v>0</v>
      </c>
      <c r="AK731" t="str">
        <f t="shared" si="56"/>
        <v>35-44</v>
      </c>
      <c r="AL731" t="str">
        <f t="shared" si="57"/>
        <v>10+ yrs (Veteran)</v>
      </c>
      <c r="AM731" t="str">
        <f t="shared" si="58"/>
        <v>High (7K-12K)</v>
      </c>
      <c r="AN731" t="str">
        <f t="shared" si="59"/>
        <v>Normal</v>
      </c>
    </row>
    <row r="732" spans="1:40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 t="shared" si="55"/>
        <v>0</v>
      </c>
      <c r="AK732" t="str">
        <f t="shared" si="56"/>
        <v>25-34</v>
      </c>
      <c r="AL732" t="str">
        <f t="shared" si="57"/>
        <v>5-9 yrs (Senior)</v>
      </c>
      <c r="AM732" t="str">
        <f t="shared" si="58"/>
        <v>High (7K-12K)</v>
      </c>
      <c r="AN732" t="str">
        <f t="shared" si="59"/>
        <v>High Risk</v>
      </c>
    </row>
    <row r="733" spans="1:40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 t="shared" si="55"/>
        <v>1</v>
      </c>
      <c r="AK733" t="str">
        <f t="shared" si="56"/>
        <v>Under 25</v>
      </c>
      <c r="AL733" t="str">
        <f t="shared" si="57"/>
        <v>0-1 yrs (New)</v>
      </c>
      <c r="AM733" t="str">
        <f t="shared" si="58"/>
        <v>Low (&lt;3K)</v>
      </c>
      <c r="AN733" t="str">
        <f t="shared" si="59"/>
        <v>High Risk</v>
      </c>
    </row>
    <row r="734" spans="1:40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 t="shared" si="55"/>
        <v>1</v>
      </c>
      <c r="AK734" t="str">
        <f t="shared" si="56"/>
        <v>25-34</v>
      </c>
      <c r="AL734" t="str">
        <f t="shared" si="57"/>
        <v>2-4 yrs (Mid)</v>
      </c>
      <c r="AM734" t="str">
        <f t="shared" si="58"/>
        <v>Low (&lt;3K)</v>
      </c>
      <c r="AN734" t="str">
        <f t="shared" si="59"/>
        <v>Normal</v>
      </c>
    </row>
    <row r="735" spans="1:40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 t="shared" si="55"/>
        <v>0</v>
      </c>
      <c r="AK735" t="str">
        <f t="shared" si="56"/>
        <v>25-34</v>
      </c>
      <c r="AL735" t="str">
        <f t="shared" si="57"/>
        <v>5-9 yrs (Senior)</v>
      </c>
      <c r="AM735" t="str">
        <f t="shared" si="58"/>
        <v>Mid (3K-7K)</v>
      </c>
      <c r="AN735" t="str">
        <f t="shared" si="59"/>
        <v>Normal</v>
      </c>
    </row>
    <row r="736" spans="1:40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 t="shared" si="55"/>
        <v>0</v>
      </c>
      <c r="AK736" t="str">
        <f t="shared" si="56"/>
        <v>Under 25</v>
      </c>
      <c r="AL736" t="str">
        <f t="shared" si="57"/>
        <v>2-4 yrs (Mid)</v>
      </c>
      <c r="AM736" t="str">
        <f t="shared" si="58"/>
        <v>Low (&lt;3K)</v>
      </c>
      <c r="AN736" t="str">
        <f t="shared" si="59"/>
        <v>Normal</v>
      </c>
    </row>
    <row r="737" spans="1:40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 t="shared" si="55"/>
        <v>0</v>
      </c>
      <c r="AK737" t="str">
        <f t="shared" si="56"/>
        <v>45-54</v>
      </c>
      <c r="AL737" t="str">
        <f t="shared" si="57"/>
        <v>2-4 yrs (Mid)</v>
      </c>
      <c r="AM737" t="str">
        <f t="shared" si="58"/>
        <v>Mid (3K-7K)</v>
      </c>
      <c r="AN737" t="str">
        <f t="shared" si="59"/>
        <v>Normal</v>
      </c>
    </row>
    <row r="738" spans="1:40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 t="shared" si="55"/>
        <v>0</v>
      </c>
      <c r="AK738" t="str">
        <f t="shared" si="56"/>
        <v>45-54</v>
      </c>
      <c r="AL738" t="str">
        <f t="shared" si="57"/>
        <v>10+ yrs (Veteran)</v>
      </c>
      <c r="AM738" t="str">
        <f t="shared" si="58"/>
        <v>High (7K-12K)</v>
      </c>
      <c r="AN738" t="str">
        <f t="shared" si="59"/>
        <v>Normal</v>
      </c>
    </row>
    <row r="739" spans="1:40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 t="shared" si="55"/>
        <v>0</v>
      </c>
      <c r="AK739" t="str">
        <f t="shared" si="56"/>
        <v>35-44</v>
      </c>
      <c r="AL739" t="str">
        <f t="shared" si="57"/>
        <v>2-4 yrs (Mid)</v>
      </c>
      <c r="AM739" t="str">
        <f t="shared" si="58"/>
        <v>Mid (3K-7K)</v>
      </c>
      <c r="AN739" t="str">
        <f t="shared" si="59"/>
        <v>Normal</v>
      </c>
    </row>
    <row r="740" spans="1:40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 t="shared" si="55"/>
        <v>0</v>
      </c>
      <c r="AK740" t="str">
        <f t="shared" si="56"/>
        <v>35-44</v>
      </c>
      <c r="AL740" t="str">
        <f t="shared" si="57"/>
        <v>10+ yrs (Veteran)</v>
      </c>
      <c r="AM740" t="str">
        <f t="shared" si="58"/>
        <v>Very High (12K+)</v>
      </c>
      <c r="AN740" t="str">
        <f t="shared" si="59"/>
        <v>Normal</v>
      </c>
    </row>
    <row r="741" spans="1:40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 t="shared" si="55"/>
        <v>0</v>
      </c>
      <c r="AK741" t="str">
        <f t="shared" si="56"/>
        <v>25-34</v>
      </c>
      <c r="AL741" t="str">
        <f t="shared" si="57"/>
        <v>2-4 yrs (Mid)</v>
      </c>
      <c r="AM741" t="str">
        <f t="shared" si="58"/>
        <v>Mid (3K-7K)</v>
      </c>
      <c r="AN741" t="str">
        <f t="shared" si="59"/>
        <v>Normal</v>
      </c>
    </row>
    <row r="742" spans="1:40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 t="shared" si="55"/>
        <v>0</v>
      </c>
      <c r="AK742" t="str">
        <f t="shared" si="56"/>
        <v>35-44</v>
      </c>
      <c r="AL742" t="str">
        <f t="shared" si="57"/>
        <v>2-4 yrs (Mid)</v>
      </c>
      <c r="AM742" t="str">
        <f t="shared" si="58"/>
        <v>Mid (3K-7K)</v>
      </c>
      <c r="AN742" t="str">
        <f t="shared" si="59"/>
        <v>Normal</v>
      </c>
    </row>
    <row r="743" spans="1:40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 t="shared" si="55"/>
        <v>0</v>
      </c>
      <c r="AK743" t="str">
        <f t="shared" si="56"/>
        <v>35-44</v>
      </c>
      <c r="AL743" t="str">
        <f t="shared" si="57"/>
        <v>0-1 yrs (New)</v>
      </c>
      <c r="AM743" t="str">
        <f t="shared" si="58"/>
        <v>Very High (12K+)</v>
      </c>
      <c r="AN743" t="str">
        <f t="shared" si="59"/>
        <v>Normal</v>
      </c>
    </row>
    <row r="744" spans="1:40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 t="shared" si="55"/>
        <v>0</v>
      </c>
      <c r="AK744" t="str">
        <f t="shared" si="56"/>
        <v>45-54</v>
      </c>
      <c r="AL744" t="str">
        <f t="shared" si="57"/>
        <v>0-1 yrs (New)</v>
      </c>
      <c r="AM744" t="str">
        <f t="shared" si="58"/>
        <v>Low (&lt;3K)</v>
      </c>
      <c r="AN744" t="str">
        <f t="shared" si="59"/>
        <v>Normal</v>
      </c>
    </row>
    <row r="745" spans="1:40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 t="shared" si="55"/>
        <v>0</v>
      </c>
      <c r="AK745" t="str">
        <f t="shared" si="56"/>
        <v>55+</v>
      </c>
      <c r="AL745" t="str">
        <f t="shared" si="57"/>
        <v>5-9 yrs (Senior)</v>
      </c>
      <c r="AM745" t="str">
        <f t="shared" si="58"/>
        <v>Very High (12K+)</v>
      </c>
      <c r="AN745" t="str">
        <f t="shared" si="59"/>
        <v>Normal</v>
      </c>
    </row>
    <row r="746" spans="1:40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 t="shared" si="55"/>
        <v>1</v>
      </c>
      <c r="AK746" t="str">
        <f t="shared" si="56"/>
        <v>35-44</v>
      </c>
      <c r="AL746" t="str">
        <f t="shared" si="57"/>
        <v>0-1 yrs (New)</v>
      </c>
      <c r="AM746" t="str">
        <f t="shared" si="58"/>
        <v>Mid (3K-7K)</v>
      </c>
      <c r="AN746" t="str">
        <f t="shared" si="59"/>
        <v>Normal</v>
      </c>
    </row>
    <row r="747" spans="1:40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 t="shared" si="55"/>
        <v>0</v>
      </c>
      <c r="AK747" t="str">
        <f t="shared" si="56"/>
        <v>55+</v>
      </c>
      <c r="AL747" t="str">
        <f t="shared" si="57"/>
        <v>5-9 yrs (Senior)</v>
      </c>
      <c r="AM747" t="str">
        <f t="shared" si="58"/>
        <v>Mid (3K-7K)</v>
      </c>
      <c r="AN747" t="str">
        <f t="shared" si="59"/>
        <v>High Risk</v>
      </c>
    </row>
    <row r="748" spans="1:40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 t="shared" si="55"/>
        <v>0</v>
      </c>
      <c r="AK748" t="str">
        <f t="shared" si="56"/>
        <v>35-44</v>
      </c>
      <c r="AL748" t="str">
        <f t="shared" si="57"/>
        <v>10+ yrs (Veteran)</v>
      </c>
      <c r="AM748" t="str">
        <f t="shared" si="58"/>
        <v>Very High (12K+)</v>
      </c>
      <c r="AN748" t="str">
        <f t="shared" si="59"/>
        <v>Normal</v>
      </c>
    </row>
    <row r="749" spans="1:40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 t="shared" si="55"/>
        <v>0</v>
      </c>
      <c r="AK749" t="str">
        <f t="shared" si="56"/>
        <v>35-44</v>
      </c>
      <c r="AL749" t="str">
        <f t="shared" si="57"/>
        <v>0-1 yrs (New)</v>
      </c>
      <c r="AM749" t="str">
        <f t="shared" si="58"/>
        <v>Mid (3K-7K)</v>
      </c>
      <c r="AN749" t="str">
        <f t="shared" si="59"/>
        <v>Normal</v>
      </c>
    </row>
    <row r="750" spans="1:40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 t="shared" si="55"/>
        <v>1</v>
      </c>
      <c r="AK750" t="str">
        <f t="shared" si="56"/>
        <v>25-34</v>
      </c>
      <c r="AL750" t="str">
        <f t="shared" si="57"/>
        <v>2-4 yrs (Mid)</v>
      </c>
      <c r="AM750" t="str">
        <f t="shared" si="58"/>
        <v>Mid (3K-7K)</v>
      </c>
      <c r="AN750" t="str">
        <f t="shared" si="59"/>
        <v>Normal</v>
      </c>
    </row>
    <row r="751" spans="1:40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 t="shared" si="55"/>
        <v>1</v>
      </c>
      <c r="AK751" t="str">
        <f t="shared" si="56"/>
        <v>45-54</v>
      </c>
      <c r="AL751" t="str">
        <f t="shared" si="57"/>
        <v>10+ yrs (Veteran)</v>
      </c>
      <c r="AM751" t="str">
        <f t="shared" si="58"/>
        <v>Very High (12K+)</v>
      </c>
      <c r="AN751" t="str">
        <f t="shared" si="59"/>
        <v>Normal</v>
      </c>
    </row>
    <row r="752" spans="1:40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 t="shared" si="55"/>
        <v>0</v>
      </c>
      <c r="AK752" t="str">
        <f t="shared" si="56"/>
        <v>35-44</v>
      </c>
      <c r="AL752" t="str">
        <f t="shared" si="57"/>
        <v>10+ yrs (Veteran)</v>
      </c>
      <c r="AM752" t="str">
        <f t="shared" si="58"/>
        <v>Very High (12K+)</v>
      </c>
      <c r="AN752" t="str">
        <f t="shared" si="59"/>
        <v>Normal</v>
      </c>
    </row>
    <row r="753" spans="1:40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 t="shared" si="55"/>
        <v>0</v>
      </c>
      <c r="AK753" t="str">
        <f t="shared" si="56"/>
        <v>45-54</v>
      </c>
      <c r="AL753" t="str">
        <f t="shared" si="57"/>
        <v>10+ yrs (Veteran)</v>
      </c>
      <c r="AM753" t="str">
        <f t="shared" si="58"/>
        <v>Mid (3K-7K)</v>
      </c>
      <c r="AN753" t="str">
        <f t="shared" si="59"/>
        <v>Normal</v>
      </c>
    </row>
    <row r="754" spans="1:40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 t="shared" si="55"/>
        <v>1</v>
      </c>
      <c r="AK754" t="str">
        <f t="shared" si="56"/>
        <v>35-44</v>
      </c>
      <c r="AL754" t="str">
        <f t="shared" si="57"/>
        <v>10+ yrs (Veteran)</v>
      </c>
      <c r="AM754" t="str">
        <f t="shared" si="58"/>
        <v>Low (&lt;3K)</v>
      </c>
      <c r="AN754" t="str">
        <f t="shared" si="59"/>
        <v>Normal</v>
      </c>
    </row>
    <row r="755" spans="1:40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 t="shared" si="55"/>
        <v>0</v>
      </c>
      <c r="AK755" t="str">
        <f t="shared" si="56"/>
        <v>35-44</v>
      </c>
      <c r="AL755" t="str">
        <f t="shared" si="57"/>
        <v>10+ yrs (Veteran)</v>
      </c>
      <c r="AM755" t="str">
        <f t="shared" si="58"/>
        <v>High (7K-12K)</v>
      </c>
      <c r="AN755" t="str">
        <f t="shared" si="59"/>
        <v>High Risk</v>
      </c>
    </row>
    <row r="756" spans="1:40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 t="shared" si="55"/>
        <v>0</v>
      </c>
      <c r="AK756" t="str">
        <f t="shared" si="56"/>
        <v>25-34</v>
      </c>
      <c r="AL756" t="str">
        <f t="shared" si="57"/>
        <v>2-4 yrs (Mid)</v>
      </c>
      <c r="AM756" t="str">
        <f t="shared" si="58"/>
        <v>Low (&lt;3K)</v>
      </c>
      <c r="AN756" t="str">
        <f t="shared" si="59"/>
        <v>Normal</v>
      </c>
    </row>
    <row r="757" spans="1:40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 t="shared" si="55"/>
        <v>0</v>
      </c>
      <c r="AK757" t="str">
        <f t="shared" si="56"/>
        <v>45-54</v>
      </c>
      <c r="AL757" t="str">
        <f t="shared" si="57"/>
        <v>5-9 yrs (Senior)</v>
      </c>
      <c r="AM757" t="str">
        <f t="shared" si="58"/>
        <v>Very High (12K+)</v>
      </c>
      <c r="AN757" t="str">
        <f t="shared" si="59"/>
        <v>Normal</v>
      </c>
    </row>
    <row r="758" spans="1:40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 t="shared" si="55"/>
        <v>0</v>
      </c>
      <c r="AK758" t="str">
        <f t="shared" si="56"/>
        <v>25-34</v>
      </c>
      <c r="AL758" t="str">
        <f t="shared" si="57"/>
        <v>5-9 yrs (Senior)</v>
      </c>
      <c r="AM758" t="str">
        <f t="shared" si="58"/>
        <v>Mid (3K-7K)</v>
      </c>
      <c r="AN758" t="str">
        <f t="shared" si="59"/>
        <v>Normal</v>
      </c>
    </row>
    <row r="759" spans="1:40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 t="shared" si="55"/>
        <v>0</v>
      </c>
      <c r="AK759" t="str">
        <f t="shared" si="56"/>
        <v>25-34</v>
      </c>
      <c r="AL759" t="str">
        <f t="shared" si="57"/>
        <v>10+ yrs (Veteran)</v>
      </c>
      <c r="AM759" t="str">
        <f t="shared" si="58"/>
        <v>High (7K-12K)</v>
      </c>
      <c r="AN759" t="str">
        <f t="shared" si="59"/>
        <v>Normal</v>
      </c>
    </row>
    <row r="760" spans="1:40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 t="shared" si="55"/>
        <v>0</v>
      </c>
      <c r="AK760" t="str">
        <f t="shared" si="56"/>
        <v>55+</v>
      </c>
      <c r="AL760" t="str">
        <f t="shared" si="57"/>
        <v>5-9 yrs (Senior)</v>
      </c>
      <c r="AM760" t="str">
        <f t="shared" si="58"/>
        <v>High (7K-12K)</v>
      </c>
      <c r="AN760" t="str">
        <f t="shared" si="59"/>
        <v>Normal</v>
      </c>
    </row>
    <row r="761" spans="1:40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 t="shared" si="55"/>
        <v>0</v>
      </c>
      <c r="AK761" t="str">
        <f t="shared" si="56"/>
        <v>45-54</v>
      </c>
      <c r="AL761" t="str">
        <f t="shared" si="57"/>
        <v>5-9 yrs (Senior)</v>
      </c>
      <c r="AM761" t="str">
        <f t="shared" si="58"/>
        <v>Low (&lt;3K)</v>
      </c>
      <c r="AN761" t="str">
        <f t="shared" si="59"/>
        <v>Normal</v>
      </c>
    </row>
    <row r="762" spans="1:40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 t="shared" si="55"/>
        <v>0</v>
      </c>
      <c r="AK762" t="str">
        <f t="shared" si="56"/>
        <v>45-54</v>
      </c>
      <c r="AL762" t="str">
        <f t="shared" si="57"/>
        <v>10+ yrs (Veteran)</v>
      </c>
      <c r="AM762" t="str">
        <f t="shared" si="58"/>
        <v>High (7K-12K)</v>
      </c>
      <c r="AN762" t="str">
        <f t="shared" si="59"/>
        <v>Normal</v>
      </c>
    </row>
    <row r="763" spans="1:40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 t="shared" si="55"/>
        <v>1</v>
      </c>
      <c r="AK763" t="str">
        <f t="shared" si="56"/>
        <v>35-44</v>
      </c>
      <c r="AL763" t="str">
        <f t="shared" si="57"/>
        <v>0-1 yrs (New)</v>
      </c>
      <c r="AM763" t="str">
        <f t="shared" si="58"/>
        <v>Mid (3K-7K)</v>
      </c>
      <c r="AN763" t="str">
        <f t="shared" si="59"/>
        <v>Normal</v>
      </c>
    </row>
    <row r="764" spans="1:40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 t="shared" si="55"/>
        <v>1</v>
      </c>
      <c r="AK764" t="str">
        <f t="shared" si="56"/>
        <v>25-34</v>
      </c>
      <c r="AL764" t="str">
        <f t="shared" si="57"/>
        <v>2-4 yrs (Mid)</v>
      </c>
      <c r="AM764" t="str">
        <f t="shared" si="58"/>
        <v>Low (&lt;3K)</v>
      </c>
      <c r="AN764" t="str">
        <f t="shared" si="59"/>
        <v>High Risk</v>
      </c>
    </row>
    <row r="765" spans="1:40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 t="shared" si="55"/>
        <v>0</v>
      </c>
      <c r="AK765" t="str">
        <f t="shared" si="56"/>
        <v>25-34</v>
      </c>
      <c r="AL765" t="str">
        <f t="shared" si="57"/>
        <v>0-1 yrs (New)</v>
      </c>
      <c r="AM765" t="str">
        <f t="shared" si="58"/>
        <v>Low (&lt;3K)</v>
      </c>
      <c r="AN765" t="str">
        <f t="shared" si="59"/>
        <v>Normal</v>
      </c>
    </row>
    <row r="766" spans="1:40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 t="shared" si="55"/>
        <v>0</v>
      </c>
      <c r="AK766" t="str">
        <f t="shared" si="56"/>
        <v>25-34</v>
      </c>
      <c r="AL766" t="str">
        <f t="shared" si="57"/>
        <v>0-1 yrs (New)</v>
      </c>
      <c r="AM766" t="str">
        <f t="shared" si="58"/>
        <v>Low (&lt;3K)</v>
      </c>
      <c r="AN766" t="str">
        <f t="shared" si="59"/>
        <v>Normal</v>
      </c>
    </row>
    <row r="767" spans="1:40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 t="shared" si="55"/>
        <v>0</v>
      </c>
      <c r="AK767" t="str">
        <f t="shared" si="56"/>
        <v>35-44</v>
      </c>
      <c r="AL767" t="str">
        <f t="shared" si="57"/>
        <v>2-4 yrs (Mid)</v>
      </c>
      <c r="AM767" t="str">
        <f t="shared" si="58"/>
        <v>Low (&lt;3K)</v>
      </c>
      <c r="AN767" t="str">
        <f t="shared" si="59"/>
        <v>Normal</v>
      </c>
    </row>
    <row r="768" spans="1:40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 t="shared" si="55"/>
        <v>0</v>
      </c>
      <c r="AK768" t="str">
        <f t="shared" si="56"/>
        <v>45-54</v>
      </c>
      <c r="AL768" t="str">
        <f t="shared" si="57"/>
        <v>5-9 yrs (Senior)</v>
      </c>
      <c r="AM768" t="str">
        <f t="shared" si="58"/>
        <v>Very High (12K+)</v>
      </c>
      <c r="AN768" t="str">
        <f t="shared" si="59"/>
        <v>Normal</v>
      </c>
    </row>
    <row r="769" spans="1:40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 t="shared" si="55"/>
        <v>0</v>
      </c>
      <c r="AK769" t="str">
        <f t="shared" si="56"/>
        <v>35-44</v>
      </c>
      <c r="AL769" t="str">
        <f t="shared" si="57"/>
        <v>2-4 yrs (Mid)</v>
      </c>
      <c r="AM769" t="str">
        <f t="shared" si="58"/>
        <v>Mid (3K-7K)</v>
      </c>
      <c r="AN769" t="str">
        <f t="shared" si="59"/>
        <v>Normal</v>
      </c>
    </row>
    <row r="770" spans="1:40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 t="shared" si="55"/>
        <v>0</v>
      </c>
      <c r="AK770" t="str">
        <f t="shared" si="56"/>
        <v>35-44</v>
      </c>
      <c r="AL770" t="str">
        <f t="shared" si="57"/>
        <v>5-9 yrs (Senior)</v>
      </c>
      <c r="AM770" t="str">
        <f t="shared" si="58"/>
        <v>High (7K-12K)</v>
      </c>
      <c r="AN770" t="str">
        <f t="shared" si="59"/>
        <v>Normal</v>
      </c>
    </row>
    <row r="771" spans="1:40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 t="shared" ref="AJ771:AJ834" si="60">IF(B771="Yes", 1, 0)</f>
        <v>0</v>
      </c>
      <c r="AK771" t="str">
        <f t="shared" ref="AK771:AK834" si="61">IF(A771&lt;25, "Under 25", IF(A771&lt;35, "25-34", IF(A771&lt;45, "35-44", IF(A771&lt;55, "45-54", "55+"))))</f>
        <v>25-34</v>
      </c>
      <c r="AL771" t="str">
        <f t="shared" ref="AL771:AL834" si="62">IF(AF771&lt;2, "0-1 yrs (New)", IF(AF771&lt;5, "2-4 yrs (Mid)", IF(AF771&lt;10, "5-9 yrs (Senior)", "10+ yrs (Veteran)")))</f>
        <v>5-9 yrs (Senior)</v>
      </c>
      <c r="AM771" t="str">
        <f t="shared" ref="AM771:AM834" si="63">IF(S771&lt;3000, "Low (&lt;3K)", IF(S771&lt;7000, "Mid (3K-7K)", IF(S771&lt;12000, "High (7K-12K)", "Very High (12K+)")))</f>
        <v>Low (&lt;3K)</v>
      </c>
      <c r="AN771" t="str">
        <f t="shared" ref="AN771:AN834" si="64">IF(AND(W771="Yes", Q771&lt;=2), "High Risk", "Normal")</f>
        <v>Normal</v>
      </c>
    </row>
    <row r="772" spans="1:40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 t="shared" si="60"/>
        <v>0</v>
      </c>
      <c r="AK772" t="str">
        <f t="shared" si="61"/>
        <v>45-54</v>
      </c>
      <c r="AL772" t="str">
        <f t="shared" si="62"/>
        <v>2-4 yrs (Mid)</v>
      </c>
      <c r="AM772" t="str">
        <f t="shared" si="63"/>
        <v>Very High (12K+)</v>
      </c>
      <c r="AN772" t="str">
        <f t="shared" si="64"/>
        <v>Normal</v>
      </c>
    </row>
    <row r="773" spans="1:40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 t="shared" si="60"/>
        <v>0</v>
      </c>
      <c r="AK773" t="str">
        <f t="shared" si="61"/>
        <v>45-54</v>
      </c>
      <c r="AL773" t="str">
        <f t="shared" si="62"/>
        <v>5-9 yrs (Senior)</v>
      </c>
      <c r="AM773" t="str">
        <f t="shared" si="63"/>
        <v>High (7K-12K)</v>
      </c>
      <c r="AN773" t="str">
        <f t="shared" si="64"/>
        <v>Normal</v>
      </c>
    </row>
    <row r="774" spans="1:40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 t="shared" si="60"/>
        <v>0</v>
      </c>
      <c r="AK774" t="str">
        <f t="shared" si="61"/>
        <v>55+</v>
      </c>
      <c r="AL774" t="str">
        <f t="shared" si="62"/>
        <v>5-9 yrs (Senior)</v>
      </c>
      <c r="AM774" t="str">
        <f t="shared" si="63"/>
        <v>Low (&lt;3K)</v>
      </c>
      <c r="AN774" t="str">
        <f t="shared" si="64"/>
        <v>Normal</v>
      </c>
    </row>
    <row r="775" spans="1:40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 t="shared" si="60"/>
        <v>0</v>
      </c>
      <c r="AK775" t="str">
        <f t="shared" si="61"/>
        <v>35-44</v>
      </c>
      <c r="AL775" t="str">
        <f t="shared" si="62"/>
        <v>10+ yrs (Veteran)</v>
      </c>
      <c r="AM775" t="str">
        <f t="shared" si="63"/>
        <v>High (7K-12K)</v>
      </c>
      <c r="AN775" t="str">
        <f t="shared" si="64"/>
        <v>Normal</v>
      </c>
    </row>
    <row r="776" spans="1:40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 t="shared" si="60"/>
        <v>0</v>
      </c>
      <c r="AK776" t="str">
        <f t="shared" si="61"/>
        <v>55+</v>
      </c>
      <c r="AL776" t="str">
        <f t="shared" si="62"/>
        <v>5-9 yrs (Senior)</v>
      </c>
      <c r="AM776" t="str">
        <f t="shared" si="63"/>
        <v>Very High (12K+)</v>
      </c>
      <c r="AN776" t="str">
        <f t="shared" si="64"/>
        <v>Normal</v>
      </c>
    </row>
    <row r="777" spans="1:40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 t="shared" si="60"/>
        <v>0</v>
      </c>
      <c r="AK777" t="str">
        <f t="shared" si="61"/>
        <v>35-44</v>
      </c>
      <c r="AL777" t="str">
        <f t="shared" si="62"/>
        <v>0-1 yrs (New)</v>
      </c>
      <c r="AM777" t="str">
        <f t="shared" si="63"/>
        <v>High (7K-12K)</v>
      </c>
      <c r="AN777" t="str">
        <f t="shared" si="64"/>
        <v>Normal</v>
      </c>
    </row>
    <row r="778" spans="1:40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 t="shared" si="60"/>
        <v>1</v>
      </c>
      <c r="AK778" t="str">
        <f t="shared" si="61"/>
        <v>Under 25</v>
      </c>
      <c r="AL778" t="str">
        <f t="shared" si="62"/>
        <v>2-4 yrs (Mid)</v>
      </c>
      <c r="AM778" t="str">
        <f t="shared" si="63"/>
        <v>Low (&lt;3K)</v>
      </c>
      <c r="AN778" t="str">
        <f t="shared" si="64"/>
        <v>Normal</v>
      </c>
    </row>
    <row r="779" spans="1:40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 t="shared" si="60"/>
        <v>1</v>
      </c>
      <c r="AK779" t="str">
        <f t="shared" si="61"/>
        <v>Under 25</v>
      </c>
      <c r="AL779" t="str">
        <f t="shared" si="62"/>
        <v>0-1 yrs (New)</v>
      </c>
      <c r="AM779" t="str">
        <f t="shared" si="63"/>
        <v>Low (&lt;3K)</v>
      </c>
      <c r="AN779" t="str">
        <f t="shared" si="64"/>
        <v>Normal</v>
      </c>
    </row>
    <row r="780" spans="1:40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 t="shared" si="60"/>
        <v>0</v>
      </c>
      <c r="AK780" t="str">
        <f t="shared" si="61"/>
        <v>45-54</v>
      </c>
      <c r="AL780" t="str">
        <f t="shared" si="62"/>
        <v>10+ yrs (Veteran)</v>
      </c>
      <c r="AM780" t="str">
        <f t="shared" si="63"/>
        <v>Mid (3K-7K)</v>
      </c>
      <c r="AN780" t="str">
        <f t="shared" si="64"/>
        <v>High Risk</v>
      </c>
    </row>
    <row r="781" spans="1:40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 t="shared" si="60"/>
        <v>1</v>
      </c>
      <c r="AK781" t="str">
        <f t="shared" si="61"/>
        <v>45-54</v>
      </c>
      <c r="AL781" t="str">
        <f t="shared" si="62"/>
        <v>10+ yrs (Veteran)</v>
      </c>
      <c r="AM781" t="str">
        <f t="shared" si="63"/>
        <v>Low (&lt;3K)</v>
      </c>
      <c r="AN781" t="str">
        <f t="shared" si="64"/>
        <v>Normal</v>
      </c>
    </row>
    <row r="782" spans="1:40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 t="shared" si="60"/>
        <v>1</v>
      </c>
      <c r="AK782" t="str">
        <f t="shared" si="61"/>
        <v>25-34</v>
      </c>
      <c r="AL782" t="str">
        <f t="shared" si="62"/>
        <v>10+ yrs (Veteran)</v>
      </c>
      <c r="AM782" t="str">
        <f t="shared" si="63"/>
        <v>High (7K-12K)</v>
      </c>
      <c r="AN782" t="str">
        <f t="shared" si="64"/>
        <v>Normal</v>
      </c>
    </row>
    <row r="783" spans="1:40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 t="shared" si="60"/>
        <v>0</v>
      </c>
      <c r="AK783" t="str">
        <f t="shared" si="61"/>
        <v>25-34</v>
      </c>
      <c r="AL783" t="str">
        <f t="shared" si="62"/>
        <v>5-9 yrs (Senior)</v>
      </c>
      <c r="AM783" t="str">
        <f t="shared" si="63"/>
        <v>Mid (3K-7K)</v>
      </c>
      <c r="AN783" t="str">
        <f t="shared" si="64"/>
        <v>Normal</v>
      </c>
    </row>
    <row r="784" spans="1:40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 t="shared" si="60"/>
        <v>0</v>
      </c>
      <c r="AK784" t="str">
        <f t="shared" si="61"/>
        <v>25-34</v>
      </c>
      <c r="AL784" t="str">
        <f t="shared" si="62"/>
        <v>5-9 yrs (Senior)</v>
      </c>
      <c r="AM784" t="str">
        <f t="shared" si="63"/>
        <v>High (7K-12K)</v>
      </c>
      <c r="AN784" t="str">
        <f t="shared" si="64"/>
        <v>Normal</v>
      </c>
    </row>
    <row r="785" spans="1:40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 t="shared" si="60"/>
        <v>0</v>
      </c>
      <c r="AK785" t="str">
        <f t="shared" si="61"/>
        <v>35-44</v>
      </c>
      <c r="AL785" t="str">
        <f t="shared" si="62"/>
        <v>10+ yrs (Veteran)</v>
      </c>
      <c r="AM785" t="str">
        <f t="shared" si="63"/>
        <v>Mid (3K-7K)</v>
      </c>
      <c r="AN785" t="str">
        <f t="shared" si="64"/>
        <v>Normal</v>
      </c>
    </row>
    <row r="786" spans="1:40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 t="shared" si="60"/>
        <v>0</v>
      </c>
      <c r="AK786" t="str">
        <f t="shared" si="61"/>
        <v>35-44</v>
      </c>
      <c r="AL786" t="str">
        <f t="shared" si="62"/>
        <v>10+ yrs (Veteran)</v>
      </c>
      <c r="AM786" t="str">
        <f t="shared" si="63"/>
        <v>High (7K-12K)</v>
      </c>
      <c r="AN786" t="str">
        <f t="shared" si="64"/>
        <v>Normal</v>
      </c>
    </row>
    <row r="787" spans="1:40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 t="shared" si="60"/>
        <v>0</v>
      </c>
      <c r="AK787" t="str">
        <f t="shared" si="61"/>
        <v>35-44</v>
      </c>
      <c r="AL787" t="str">
        <f t="shared" si="62"/>
        <v>10+ yrs (Veteran)</v>
      </c>
      <c r="AM787" t="str">
        <f t="shared" si="63"/>
        <v>High (7K-12K)</v>
      </c>
      <c r="AN787" t="str">
        <f t="shared" si="64"/>
        <v>Normal</v>
      </c>
    </row>
    <row r="788" spans="1:40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 t="shared" si="60"/>
        <v>0</v>
      </c>
      <c r="AK788" t="str">
        <f t="shared" si="61"/>
        <v>25-34</v>
      </c>
      <c r="AL788" t="str">
        <f t="shared" si="62"/>
        <v>2-4 yrs (Mid)</v>
      </c>
      <c r="AM788" t="str">
        <f t="shared" si="63"/>
        <v>Mid (3K-7K)</v>
      </c>
      <c r="AN788" t="str">
        <f t="shared" si="64"/>
        <v>Normal</v>
      </c>
    </row>
    <row r="789" spans="1:40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 t="shared" si="60"/>
        <v>0</v>
      </c>
      <c r="AK789" t="str">
        <f t="shared" si="61"/>
        <v>55+</v>
      </c>
      <c r="AL789" t="str">
        <f t="shared" si="62"/>
        <v>2-4 yrs (Mid)</v>
      </c>
      <c r="AM789" t="str">
        <f t="shared" si="63"/>
        <v>High (7K-12K)</v>
      </c>
      <c r="AN789" t="str">
        <f t="shared" si="64"/>
        <v>Normal</v>
      </c>
    </row>
    <row r="790" spans="1:40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 t="shared" si="60"/>
        <v>0</v>
      </c>
      <c r="AK790" t="str">
        <f t="shared" si="61"/>
        <v>25-34</v>
      </c>
      <c r="AL790" t="str">
        <f t="shared" si="62"/>
        <v>5-9 yrs (Senior)</v>
      </c>
      <c r="AM790" t="str">
        <f t="shared" si="63"/>
        <v>Mid (3K-7K)</v>
      </c>
      <c r="AN790" t="str">
        <f t="shared" si="64"/>
        <v>Normal</v>
      </c>
    </row>
    <row r="791" spans="1:40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 t="shared" si="60"/>
        <v>1</v>
      </c>
      <c r="AK791" t="str">
        <f t="shared" si="61"/>
        <v>35-44</v>
      </c>
      <c r="AL791" t="str">
        <f t="shared" si="62"/>
        <v>10+ yrs (Veteran)</v>
      </c>
      <c r="AM791" t="str">
        <f t="shared" si="63"/>
        <v>High (7K-12K)</v>
      </c>
      <c r="AN791" t="str">
        <f t="shared" si="64"/>
        <v>Normal</v>
      </c>
    </row>
    <row r="792" spans="1:40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 t="shared" si="60"/>
        <v>0</v>
      </c>
      <c r="AK792" t="str">
        <f t="shared" si="61"/>
        <v>25-34</v>
      </c>
      <c r="AL792" t="str">
        <f t="shared" si="62"/>
        <v>2-4 yrs (Mid)</v>
      </c>
      <c r="AM792" t="str">
        <f t="shared" si="63"/>
        <v>High (7K-12K)</v>
      </c>
      <c r="AN792" t="str">
        <f t="shared" si="64"/>
        <v>Normal</v>
      </c>
    </row>
    <row r="793" spans="1:40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 t="shared" si="60"/>
        <v>1</v>
      </c>
      <c r="AK793" t="str">
        <f t="shared" si="61"/>
        <v>35-44</v>
      </c>
      <c r="AL793" t="str">
        <f t="shared" si="62"/>
        <v>5-9 yrs (Senior)</v>
      </c>
      <c r="AM793" t="str">
        <f t="shared" si="63"/>
        <v>High (7K-12K)</v>
      </c>
      <c r="AN793" t="str">
        <f t="shared" si="64"/>
        <v>High Risk</v>
      </c>
    </row>
    <row r="794" spans="1:40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 t="shared" si="60"/>
        <v>1</v>
      </c>
      <c r="AK794" t="str">
        <f t="shared" si="61"/>
        <v>25-34</v>
      </c>
      <c r="AL794" t="str">
        <f t="shared" si="62"/>
        <v>10+ yrs (Veteran)</v>
      </c>
      <c r="AM794" t="str">
        <f t="shared" si="63"/>
        <v>Mid (3K-7K)</v>
      </c>
      <c r="AN794" t="str">
        <f t="shared" si="64"/>
        <v>Normal</v>
      </c>
    </row>
    <row r="795" spans="1:40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 t="shared" si="60"/>
        <v>0</v>
      </c>
      <c r="AK795" t="str">
        <f t="shared" si="61"/>
        <v>25-34</v>
      </c>
      <c r="AL795" t="str">
        <f t="shared" si="62"/>
        <v>2-4 yrs (Mid)</v>
      </c>
      <c r="AM795" t="str">
        <f t="shared" si="63"/>
        <v>Low (&lt;3K)</v>
      </c>
      <c r="AN795" t="str">
        <f t="shared" si="64"/>
        <v>Normal</v>
      </c>
    </row>
    <row r="796" spans="1:40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 t="shared" si="60"/>
        <v>0</v>
      </c>
      <c r="AK796" t="str">
        <f t="shared" si="61"/>
        <v>25-34</v>
      </c>
      <c r="AL796" t="str">
        <f t="shared" si="62"/>
        <v>5-9 yrs (Senior)</v>
      </c>
      <c r="AM796" t="str">
        <f t="shared" si="63"/>
        <v>High (7K-12K)</v>
      </c>
      <c r="AN796" t="str">
        <f t="shared" si="64"/>
        <v>Normal</v>
      </c>
    </row>
    <row r="797" spans="1:40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 t="shared" si="60"/>
        <v>0</v>
      </c>
      <c r="AK797" t="str">
        <f t="shared" si="61"/>
        <v>35-44</v>
      </c>
      <c r="AL797" t="str">
        <f t="shared" si="62"/>
        <v>0-1 yrs (New)</v>
      </c>
      <c r="AM797" t="str">
        <f t="shared" si="63"/>
        <v>Mid (3K-7K)</v>
      </c>
      <c r="AN797" t="str">
        <f t="shared" si="64"/>
        <v>Normal</v>
      </c>
    </row>
    <row r="798" spans="1:40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 t="shared" si="60"/>
        <v>1</v>
      </c>
      <c r="AK798" t="str">
        <f t="shared" si="61"/>
        <v>25-34</v>
      </c>
      <c r="AL798" t="str">
        <f t="shared" si="62"/>
        <v>5-9 yrs (Senior)</v>
      </c>
      <c r="AM798" t="str">
        <f t="shared" si="63"/>
        <v>Mid (3K-7K)</v>
      </c>
      <c r="AN798" t="str">
        <f t="shared" si="64"/>
        <v>Normal</v>
      </c>
    </row>
    <row r="799" spans="1:40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 t="shared" si="60"/>
        <v>1</v>
      </c>
      <c r="AK799" t="str">
        <f t="shared" si="61"/>
        <v>25-34</v>
      </c>
      <c r="AL799" t="str">
        <f t="shared" si="62"/>
        <v>0-1 yrs (New)</v>
      </c>
      <c r="AM799" t="str">
        <f t="shared" si="63"/>
        <v>Low (&lt;3K)</v>
      </c>
      <c r="AN799" t="str">
        <f t="shared" si="64"/>
        <v>Normal</v>
      </c>
    </row>
    <row r="800" spans="1:40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 t="shared" si="60"/>
        <v>1</v>
      </c>
      <c r="AK800" t="str">
        <f t="shared" si="61"/>
        <v>25-34</v>
      </c>
      <c r="AL800" t="str">
        <f t="shared" si="62"/>
        <v>2-4 yrs (Mid)</v>
      </c>
      <c r="AM800" t="str">
        <f t="shared" si="63"/>
        <v>Low (&lt;3K)</v>
      </c>
      <c r="AN800" t="str">
        <f t="shared" si="64"/>
        <v>High Risk</v>
      </c>
    </row>
    <row r="801" spans="1:40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 t="shared" si="60"/>
        <v>0</v>
      </c>
      <c r="AK801" t="str">
        <f t="shared" si="61"/>
        <v>35-44</v>
      </c>
      <c r="AL801" t="str">
        <f t="shared" si="62"/>
        <v>10+ yrs (Veteran)</v>
      </c>
      <c r="AM801" t="str">
        <f t="shared" si="63"/>
        <v>Very High (12K+)</v>
      </c>
      <c r="AN801" t="str">
        <f t="shared" si="64"/>
        <v>Normal</v>
      </c>
    </row>
    <row r="802" spans="1:40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 t="shared" si="60"/>
        <v>1</v>
      </c>
      <c r="AK802" t="str">
        <f t="shared" si="61"/>
        <v>25-34</v>
      </c>
      <c r="AL802" t="str">
        <f t="shared" si="62"/>
        <v>0-1 yrs (New)</v>
      </c>
      <c r="AM802" t="str">
        <f t="shared" si="63"/>
        <v>Low (&lt;3K)</v>
      </c>
      <c r="AN802" t="str">
        <f t="shared" si="64"/>
        <v>Normal</v>
      </c>
    </row>
    <row r="803" spans="1:40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 t="shared" si="60"/>
        <v>1</v>
      </c>
      <c r="AK803" t="str">
        <f t="shared" si="61"/>
        <v>45-54</v>
      </c>
      <c r="AL803" t="str">
        <f t="shared" si="62"/>
        <v>0-1 yrs (New)</v>
      </c>
      <c r="AM803" t="str">
        <f t="shared" si="63"/>
        <v>Mid (3K-7K)</v>
      </c>
      <c r="AN803" t="str">
        <f t="shared" si="64"/>
        <v>Normal</v>
      </c>
    </row>
    <row r="804" spans="1:40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 t="shared" si="60"/>
        <v>0</v>
      </c>
      <c r="AK804" t="str">
        <f t="shared" si="61"/>
        <v>25-34</v>
      </c>
      <c r="AL804" t="str">
        <f t="shared" si="62"/>
        <v>2-4 yrs (Mid)</v>
      </c>
      <c r="AM804" t="str">
        <f t="shared" si="63"/>
        <v>Mid (3K-7K)</v>
      </c>
      <c r="AN804" t="str">
        <f t="shared" si="64"/>
        <v>Normal</v>
      </c>
    </row>
    <row r="805" spans="1:40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 t="shared" si="60"/>
        <v>0</v>
      </c>
      <c r="AK805" t="str">
        <f t="shared" si="61"/>
        <v>25-34</v>
      </c>
      <c r="AL805" t="str">
        <f t="shared" si="62"/>
        <v>0-1 yrs (New)</v>
      </c>
      <c r="AM805" t="str">
        <f t="shared" si="63"/>
        <v>Low (&lt;3K)</v>
      </c>
      <c r="AN805" t="str">
        <f t="shared" si="64"/>
        <v>Normal</v>
      </c>
    </row>
    <row r="806" spans="1:40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 t="shared" si="60"/>
        <v>0</v>
      </c>
      <c r="AK806" t="str">
        <f t="shared" si="61"/>
        <v>45-54</v>
      </c>
      <c r="AL806" t="str">
        <f t="shared" si="62"/>
        <v>5-9 yrs (Senior)</v>
      </c>
      <c r="AM806" t="str">
        <f t="shared" si="63"/>
        <v>Very High (12K+)</v>
      </c>
      <c r="AN806" t="str">
        <f t="shared" si="64"/>
        <v>Normal</v>
      </c>
    </row>
    <row r="807" spans="1:40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 t="shared" si="60"/>
        <v>0</v>
      </c>
      <c r="AK807" t="str">
        <f t="shared" si="61"/>
        <v>45-54</v>
      </c>
      <c r="AL807" t="str">
        <f t="shared" si="62"/>
        <v>10+ yrs (Veteran)</v>
      </c>
      <c r="AM807" t="str">
        <f t="shared" si="63"/>
        <v>Mid (3K-7K)</v>
      </c>
      <c r="AN807" t="str">
        <f t="shared" si="64"/>
        <v>Normal</v>
      </c>
    </row>
    <row r="808" spans="1:40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 t="shared" si="60"/>
        <v>0</v>
      </c>
      <c r="AK808" t="str">
        <f t="shared" si="61"/>
        <v>45-54</v>
      </c>
      <c r="AL808" t="str">
        <f t="shared" si="62"/>
        <v>5-9 yrs (Senior)</v>
      </c>
      <c r="AM808" t="str">
        <f t="shared" si="63"/>
        <v>High (7K-12K)</v>
      </c>
      <c r="AN808" t="str">
        <f t="shared" si="64"/>
        <v>Normal</v>
      </c>
    </row>
    <row r="809" spans="1:40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 t="shared" si="60"/>
        <v>0</v>
      </c>
      <c r="AK809" t="str">
        <f t="shared" si="61"/>
        <v>35-44</v>
      </c>
      <c r="AL809" t="str">
        <f t="shared" si="62"/>
        <v>5-9 yrs (Senior)</v>
      </c>
      <c r="AM809" t="str">
        <f t="shared" si="63"/>
        <v>High (7K-12K)</v>
      </c>
      <c r="AN809" t="str">
        <f t="shared" si="64"/>
        <v>Normal</v>
      </c>
    </row>
    <row r="810" spans="1:40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 t="shared" si="60"/>
        <v>0</v>
      </c>
      <c r="AK810" t="str">
        <f t="shared" si="61"/>
        <v>25-34</v>
      </c>
      <c r="AL810" t="str">
        <f t="shared" si="62"/>
        <v>5-9 yrs (Senior)</v>
      </c>
      <c r="AM810" t="str">
        <f t="shared" si="63"/>
        <v>Low (&lt;3K)</v>
      </c>
      <c r="AN810" t="str">
        <f t="shared" si="64"/>
        <v>Normal</v>
      </c>
    </row>
    <row r="811" spans="1:40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 t="shared" si="60"/>
        <v>0</v>
      </c>
      <c r="AK811" t="str">
        <f t="shared" si="61"/>
        <v>25-34</v>
      </c>
      <c r="AL811" t="str">
        <f t="shared" si="62"/>
        <v>5-9 yrs (Senior)</v>
      </c>
      <c r="AM811" t="str">
        <f t="shared" si="63"/>
        <v>High (7K-12K)</v>
      </c>
      <c r="AN811" t="str">
        <f t="shared" si="64"/>
        <v>Normal</v>
      </c>
    </row>
    <row r="812" spans="1:40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 t="shared" si="60"/>
        <v>0</v>
      </c>
      <c r="AK812" t="str">
        <f t="shared" si="61"/>
        <v>45-54</v>
      </c>
      <c r="AL812" t="str">
        <f t="shared" si="62"/>
        <v>10+ yrs (Veteran)</v>
      </c>
      <c r="AM812" t="str">
        <f t="shared" si="63"/>
        <v>Very High (12K+)</v>
      </c>
      <c r="AN812" t="str">
        <f t="shared" si="64"/>
        <v>Normal</v>
      </c>
    </row>
    <row r="813" spans="1:40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 t="shared" si="60"/>
        <v>0</v>
      </c>
      <c r="AK813" t="str">
        <f t="shared" si="61"/>
        <v>35-44</v>
      </c>
      <c r="AL813" t="str">
        <f t="shared" si="62"/>
        <v>0-1 yrs (New)</v>
      </c>
      <c r="AM813" t="str">
        <f t="shared" si="63"/>
        <v>High (7K-12K)</v>
      </c>
      <c r="AN813" t="str">
        <f t="shared" si="64"/>
        <v>Normal</v>
      </c>
    </row>
    <row r="814" spans="1:40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 t="shared" si="60"/>
        <v>0</v>
      </c>
      <c r="AK814" t="str">
        <f t="shared" si="61"/>
        <v>35-44</v>
      </c>
      <c r="AL814" t="str">
        <f t="shared" si="62"/>
        <v>5-9 yrs (Senior)</v>
      </c>
      <c r="AM814" t="str">
        <f t="shared" si="63"/>
        <v>High (7K-12K)</v>
      </c>
      <c r="AN814" t="str">
        <f t="shared" si="64"/>
        <v>Normal</v>
      </c>
    </row>
    <row r="815" spans="1:40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 t="shared" si="60"/>
        <v>1</v>
      </c>
      <c r="AK815" t="str">
        <f t="shared" si="61"/>
        <v>35-44</v>
      </c>
      <c r="AL815" t="str">
        <f t="shared" si="62"/>
        <v>10+ yrs (Veteran)</v>
      </c>
      <c r="AM815" t="str">
        <f t="shared" si="63"/>
        <v>Very High (12K+)</v>
      </c>
      <c r="AN815" t="str">
        <f t="shared" si="64"/>
        <v>Normal</v>
      </c>
    </row>
    <row r="816" spans="1:40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 t="shared" si="60"/>
        <v>0</v>
      </c>
      <c r="AK816" t="str">
        <f t="shared" si="61"/>
        <v>35-44</v>
      </c>
      <c r="AL816" t="str">
        <f t="shared" si="62"/>
        <v>10+ yrs (Veteran)</v>
      </c>
      <c r="AM816" t="str">
        <f t="shared" si="63"/>
        <v>Very High (12K+)</v>
      </c>
      <c r="AN816" t="str">
        <f t="shared" si="64"/>
        <v>Normal</v>
      </c>
    </row>
    <row r="817" spans="1:40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 t="shared" si="60"/>
        <v>0</v>
      </c>
      <c r="AK817" t="str">
        <f t="shared" si="61"/>
        <v>Under 25</v>
      </c>
      <c r="AL817" t="str">
        <f t="shared" si="62"/>
        <v>2-4 yrs (Mid)</v>
      </c>
      <c r="AM817" t="str">
        <f t="shared" si="63"/>
        <v>Low (&lt;3K)</v>
      </c>
      <c r="AN817" t="str">
        <f t="shared" si="64"/>
        <v>High Risk</v>
      </c>
    </row>
    <row r="818" spans="1:40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 t="shared" si="60"/>
        <v>0</v>
      </c>
      <c r="AK818" t="str">
        <f t="shared" si="61"/>
        <v>35-44</v>
      </c>
      <c r="AL818" t="str">
        <f t="shared" si="62"/>
        <v>5-9 yrs (Senior)</v>
      </c>
      <c r="AM818" t="str">
        <f t="shared" si="63"/>
        <v>Mid (3K-7K)</v>
      </c>
      <c r="AN818" t="str">
        <f t="shared" si="64"/>
        <v>Normal</v>
      </c>
    </row>
    <row r="819" spans="1:40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 t="shared" si="60"/>
        <v>0</v>
      </c>
      <c r="AK819" t="str">
        <f t="shared" si="61"/>
        <v>35-44</v>
      </c>
      <c r="AL819" t="str">
        <f t="shared" si="62"/>
        <v>10+ yrs (Veteran)</v>
      </c>
      <c r="AM819" t="str">
        <f t="shared" si="63"/>
        <v>High (7K-12K)</v>
      </c>
      <c r="AN819" t="str">
        <f t="shared" si="64"/>
        <v>Normal</v>
      </c>
    </row>
    <row r="820" spans="1:40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 t="shared" si="60"/>
        <v>0</v>
      </c>
      <c r="AK820" t="str">
        <f t="shared" si="61"/>
        <v>25-34</v>
      </c>
      <c r="AL820" t="str">
        <f t="shared" si="62"/>
        <v>2-4 yrs (Mid)</v>
      </c>
      <c r="AM820" t="str">
        <f t="shared" si="63"/>
        <v>Low (&lt;3K)</v>
      </c>
      <c r="AN820" t="str">
        <f t="shared" si="64"/>
        <v>Normal</v>
      </c>
    </row>
    <row r="821" spans="1:40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 t="shared" si="60"/>
        <v>0</v>
      </c>
      <c r="AK821" t="str">
        <f t="shared" si="61"/>
        <v>25-34</v>
      </c>
      <c r="AL821" t="str">
        <f t="shared" si="62"/>
        <v>5-9 yrs (Senior)</v>
      </c>
      <c r="AM821" t="str">
        <f t="shared" si="63"/>
        <v>Mid (3K-7K)</v>
      </c>
      <c r="AN821" t="str">
        <f t="shared" si="64"/>
        <v>Normal</v>
      </c>
    </row>
    <row r="822" spans="1:40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 t="shared" si="60"/>
        <v>0</v>
      </c>
      <c r="AK822" t="str">
        <f t="shared" si="61"/>
        <v>35-44</v>
      </c>
      <c r="AL822" t="str">
        <f t="shared" si="62"/>
        <v>5-9 yrs (Senior)</v>
      </c>
      <c r="AM822" t="str">
        <f t="shared" si="63"/>
        <v>Mid (3K-7K)</v>
      </c>
      <c r="AN822" t="str">
        <f t="shared" si="64"/>
        <v>Normal</v>
      </c>
    </row>
    <row r="823" spans="1:40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 t="shared" si="60"/>
        <v>0</v>
      </c>
      <c r="AK823" t="str">
        <f t="shared" si="61"/>
        <v>45-54</v>
      </c>
      <c r="AL823" t="str">
        <f t="shared" si="62"/>
        <v>5-9 yrs (Senior)</v>
      </c>
      <c r="AM823" t="str">
        <f t="shared" si="63"/>
        <v>Very High (12K+)</v>
      </c>
      <c r="AN823" t="str">
        <f t="shared" si="64"/>
        <v>Normal</v>
      </c>
    </row>
    <row r="824" spans="1:40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 t="shared" si="60"/>
        <v>0</v>
      </c>
      <c r="AK824" t="str">
        <f t="shared" si="61"/>
        <v>25-34</v>
      </c>
      <c r="AL824" t="str">
        <f t="shared" si="62"/>
        <v>2-4 yrs (Mid)</v>
      </c>
      <c r="AM824" t="str">
        <f t="shared" si="63"/>
        <v>Mid (3K-7K)</v>
      </c>
      <c r="AN824" t="str">
        <f t="shared" si="64"/>
        <v>Normal</v>
      </c>
    </row>
    <row r="825" spans="1:40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 t="shared" si="60"/>
        <v>0</v>
      </c>
      <c r="AK825" t="str">
        <f t="shared" si="61"/>
        <v>25-34</v>
      </c>
      <c r="AL825" t="str">
        <f t="shared" si="62"/>
        <v>5-9 yrs (Senior)</v>
      </c>
      <c r="AM825" t="str">
        <f t="shared" si="63"/>
        <v>Mid (3K-7K)</v>
      </c>
      <c r="AN825" t="str">
        <f t="shared" si="64"/>
        <v>Normal</v>
      </c>
    </row>
    <row r="826" spans="1:40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 t="shared" si="60"/>
        <v>0</v>
      </c>
      <c r="AK826" t="str">
        <f t="shared" si="61"/>
        <v>35-44</v>
      </c>
      <c r="AL826" t="str">
        <f t="shared" si="62"/>
        <v>0-1 yrs (New)</v>
      </c>
      <c r="AM826" t="str">
        <f t="shared" si="63"/>
        <v>Mid (3K-7K)</v>
      </c>
      <c r="AN826" t="str">
        <f t="shared" si="64"/>
        <v>Normal</v>
      </c>
    </row>
    <row r="827" spans="1:40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 t="shared" si="60"/>
        <v>0</v>
      </c>
      <c r="AK827" t="str">
        <f t="shared" si="61"/>
        <v>25-34</v>
      </c>
      <c r="AL827" t="str">
        <f t="shared" si="62"/>
        <v>10+ yrs (Veteran)</v>
      </c>
      <c r="AM827" t="str">
        <f t="shared" si="63"/>
        <v>Mid (3K-7K)</v>
      </c>
      <c r="AN827" t="str">
        <f t="shared" si="64"/>
        <v>Normal</v>
      </c>
    </row>
    <row r="828" spans="1:40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 t="shared" si="60"/>
        <v>0</v>
      </c>
      <c r="AK828" t="str">
        <f t="shared" si="61"/>
        <v>35-44</v>
      </c>
      <c r="AL828" t="str">
        <f t="shared" si="62"/>
        <v>5-9 yrs (Senior)</v>
      </c>
      <c r="AM828" t="str">
        <f t="shared" si="63"/>
        <v>Low (&lt;3K)</v>
      </c>
      <c r="AN828" t="str">
        <f t="shared" si="64"/>
        <v>Normal</v>
      </c>
    </row>
    <row r="829" spans="1:40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 t="shared" si="60"/>
        <v>0</v>
      </c>
      <c r="AK829" t="str">
        <f t="shared" si="61"/>
        <v>25-34</v>
      </c>
      <c r="AL829" t="str">
        <f t="shared" si="62"/>
        <v>2-4 yrs (Mid)</v>
      </c>
      <c r="AM829" t="str">
        <f t="shared" si="63"/>
        <v>Low (&lt;3K)</v>
      </c>
      <c r="AN829" t="str">
        <f t="shared" si="64"/>
        <v>Normal</v>
      </c>
    </row>
    <row r="830" spans="1:40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 t="shared" si="60"/>
        <v>1</v>
      </c>
      <c r="AK830" t="str">
        <f t="shared" si="61"/>
        <v>Under 25</v>
      </c>
      <c r="AL830" t="str">
        <f t="shared" si="62"/>
        <v>0-1 yrs (New)</v>
      </c>
      <c r="AM830" t="str">
        <f t="shared" si="63"/>
        <v>Low (&lt;3K)</v>
      </c>
      <c r="AN830" t="str">
        <f t="shared" si="64"/>
        <v>Normal</v>
      </c>
    </row>
    <row r="831" spans="1:40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 t="shared" si="60"/>
        <v>1</v>
      </c>
      <c r="AK831" t="str">
        <f t="shared" si="61"/>
        <v>25-34</v>
      </c>
      <c r="AL831" t="str">
        <f t="shared" si="62"/>
        <v>5-9 yrs (Senior)</v>
      </c>
      <c r="AM831" t="str">
        <f t="shared" si="63"/>
        <v>High (7K-12K)</v>
      </c>
      <c r="AN831" t="str">
        <f t="shared" si="64"/>
        <v>High Risk</v>
      </c>
    </row>
    <row r="832" spans="1:40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 t="shared" si="60"/>
        <v>0</v>
      </c>
      <c r="AK832" t="str">
        <f t="shared" si="61"/>
        <v>35-44</v>
      </c>
      <c r="AL832" t="str">
        <f t="shared" si="62"/>
        <v>0-1 yrs (New)</v>
      </c>
      <c r="AM832" t="str">
        <f t="shared" si="63"/>
        <v>Mid (3K-7K)</v>
      </c>
      <c r="AN832" t="str">
        <f t="shared" si="64"/>
        <v>Normal</v>
      </c>
    </row>
    <row r="833" spans="1:40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 t="shared" si="60"/>
        <v>1</v>
      </c>
      <c r="AK833" t="str">
        <f t="shared" si="61"/>
        <v>25-34</v>
      </c>
      <c r="AL833" t="str">
        <f t="shared" si="62"/>
        <v>2-4 yrs (Mid)</v>
      </c>
      <c r="AM833" t="str">
        <f t="shared" si="63"/>
        <v>Low (&lt;3K)</v>
      </c>
      <c r="AN833" t="str">
        <f t="shared" si="64"/>
        <v>Normal</v>
      </c>
    </row>
    <row r="834" spans="1:40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 t="shared" si="60"/>
        <v>0</v>
      </c>
      <c r="AK834" t="str">
        <f t="shared" si="61"/>
        <v>35-44</v>
      </c>
      <c r="AL834" t="str">
        <f t="shared" si="62"/>
        <v>5-9 yrs (Senior)</v>
      </c>
      <c r="AM834" t="str">
        <f t="shared" si="63"/>
        <v>Mid (3K-7K)</v>
      </c>
      <c r="AN834" t="str">
        <f t="shared" si="64"/>
        <v>Normal</v>
      </c>
    </row>
    <row r="835" spans="1:40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 t="shared" ref="AJ835:AJ898" si="65">IF(B835="Yes", 1, 0)</f>
        <v>0</v>
      </c>
      <c r="AK835" t="str">
        <f t="shared" ref="AK835:AK898" si="66">IF(A835&lt;25, "Under 25", IF(A835&lt;35, "25-34", IF(A835&lt;45, "35-44", IF(A835&lt;55, "45-54", "55+"))))</f>
        <v>25-34</v>
      </c>
      <c r="AL835" t="str">
        <f t="shared" ref="AL835:AL898" si="67">IF(AF835&lt;2, "0-1 yrs (New)", IF(AF835&lt;5, "2-4 yrs (Mid)", IF(AF835&lt;10, "5-9 yrs (Senior)", "10+ yrs (Veteran)")))</f>
        <v>2-4 yrs (Mid)</v>
      </c>
      <c r="AM835" t="str">
        <f t="shared" ref="AM835:AM898" si="68">IF(S835&lt;3000, "Low (&lt;3K)", IF(S835&lt;7000, "Mid (3K-7K)", IF(S835&lt;12000, "High (7K-12K)", "Very High (12K+)")))</f>
        <v>Low (&lt;3K)</v>
      </c>
      <c r="AN835" t="str">
        <f t="shared" ref="AN835:AN898" si="69">IF(AND(W835="Yes", Q835&lt;=2), "High Risk", "Normal")</f>
        <v>Normal</v>
      </c>
    </row>
    <row r="836" spans="1:40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 t="shared" si="65"/>
        <v>0</v>
      </c>
      <c r="AK836" t="str">
        <f t="shared" si="66"/>
        <v>25-34</v>
      </c>
      <c r="AL836" t="str">
        <f t="shared" si="67"/>
        <v>5-9 yrs (Senior)</v>
      </c>
      <c r="AM836" t="str">
        <f t="shared" si="68"/>
        <v>Mid (3K-7K)</v>
      </c>
      <c r="AN836" t="str">
        <f t="shared" si="69"/>
        <v>Normal</v>
      </c>
    </row>
    <row r="837" spans="1:40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 t="shared" si="65"/>
        <v>0</v>
      </c>
      <c r="AK837" t="str">
        <f t="shared" si="66"/>
        <v>35-44</v>
      </c>
      <c r="AL837" t="str">
        <f t="shared" si="67"/>
        <v>5-9 yrs (Senior)</v>
      </c>
      <c r="AM837" t="str">
        <f t="shared" si="68"/>
        <v>Mid (3K-7K)</v>
      </c>
      <c r="AN837" t="str">
        <f t="shared" si="69"/>
        <v>Normal</v>
      </c>
    </row>
    <row r="838" spans="1:40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 t="shared" si="65"/>
        <v>1</v>
      </c>
      <c r="AK838" t="str">
        <f t="shared" si="66"/>
        <v>25-34</v>
      </c>
      <c r="AL838" t="str">
        <f t="shared" si="67"/>
        <v>10+ yrs (Veteran)</v>
      </c>
      <c r="AM838" t="str">
        <f t="shared" si="68"/>
        <v>High (7K-12K)</v>
      </c>
      <c r="AN838" t="str">
        <f t="shared" si="69"/>
        <v>Normal</v>
      </c>
    </row>
    <row r="839" spans="1:40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 t="shared" si="65"/>
        <v>0</v>
      </c>
      <c r="AK839" t="str">
        <f t="shared" si="66"/>
        <v>35-44</v>
      </c>
      <c r="AL839" t="str">
        <f t="shared" si="67"/>
        <v>10+ yrs (Veteran)</v>
      </c>
      <c r="AM839" t="str">
        <f t="shared" si="68"/>
        <v>Very High (12K+)</v>
      </c>
      <c r="AN839" t="str">
        <f t="shared" si="69"/>
        <v>Normal</v>
      </c>
    </row>
    <row r="840" spans="1:40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 t="shared" si="65"/>
        <v>1</v>
      </c>
      <c r="AK840" t="str">
        <f t="shared" si="66"/>
        <v>35-44</v>
      </c>
      <c r="AL840" t="str">
        <f t="shared" si="67"/>
        <v>10+ yrs (Veteran)</v>
      </c>
      <c r="AM840" t="str">
        <f t="shared" si="68"/>
        <v>Very High (12K+)</v>
      </c>
      <c r="AN840" t="str">
        <f t="shared" si="69"/>
        <v>High Risk</v>
      </c>
    </row>
    <row r="841" spans="1:40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 t="shared" si="65"/>
        <v>0</v>
      </c>
      <c r="AK841" t="str">
        <f t="shared" si="66"/>
        <v>35-44</v>
      </c>
      <c r="AL841" t="str">
        <f t="shared" si="67"/>
        <v>5-9 yrs (Senior)</v>
      </c>
      <c r="AM841" t="str">
        <f t="shared" si="68"/>
        <v>Mid (3K-7K)</v>
      </c>
      <c r="AN841" t="str">
        <f t="shared" si="69"/>
        <v>Normal</v>
      </c>
    </row>
    <row r="842" spans="1:40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 t="shared" si="65"/>
        <v>0</v>
      </c>
      <c r="AK842" t="str">
        <f t="shared" si="66"/>
        <v>35-44</v>
      </c>
      <c r="AL842" t="str">
        <f t="shared" si="67"/>
        <v>5-9 yrs (Senior)</v>
      </c>
      <c r="AM842" t="str">
        <f t="shared" si="68"/>
        <v>Low (&lt;3K)</v>
      </c>
      <c r="AN842" t="str">
        <f t="shared" si="69"/>
        <v>Normal</v>
      </c>
    </row>
    <row r="843" spans="1:40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 t="shared" si="65"/>
        <v>0</v>
      </c>
      <c r="AK843" t="str">
        <f t="shared" si="66"/>
        <v>Under 25</v>
      </c>
      <c r="AL843" t="str">
        <f t="shared" si="67"/>
        <v>2-4 yrs (Mid)</v>
      </c>
      <c r="AM843" t="str">
        <f t="shared" si="68"/>
        <v>Mid (3K-7K)</v>
      </c>
      <c r="AN843" t="str">
        <f t="shared" si="69"/>
        <v>Normal</v>
      </c>
    </row>
    <row r="844" spans="1:40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 t="shared" si="65"/>
        <v>1</v>
      </c>
      <c r="AK844" t="str">
        <f t="shared" si="66"/>
        <v>25-34</v>
      </c>
      <c r="AL844" t="str">
        <f t="shared" si="67"/>
        <v>0-1 yrs (New)</v>
      </c>
      <c r="AM844" t="str">
        <f t="shared" si="68"/>
        <v>Low (&lt;3K)</v>
      </c>
      <c r="AN844" t="str">
        <f t="shared" si="69"/>
        <v>Normal</v>
      </c>
    </row>
    <row r="845" spans="1:40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 t="shared" si="65"/>
        <v>0</v>
      </c>
      <c r="AK845" t="str">
        <f t="shared" si="66"/>
        <v>25-34</v>
      </c>
      <c r="AL845" t="str">
        <f t="shared" si="67"/>
        <v>5-9 yrs (Senior)</v>
      </c>
      <c r="AM845" t="str">
        <f t="shared" si="68"/>
        <v>Mid (3K-7K)</v>
      </c>
      <c r="AN845" t="str">
        <f t="shared" si="69"/>
        <v>Normal</v>
      </c>
    </row>
    <row r="846" spans="1:40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 t="shared" si="65"/>
        <v>0</v>
      </c>
      <c r="AK846" t="str">
        <f t="shared" si="66"/>
        <v>25-34</v>
      </c>
      <c r="AL846" t="str">
        <f t="shared" si="67"/>
        <v>10+ yrs (Veteran)</v>
      </c>
      <c r="AM846" t="str">
        <f t="shared" si="68"/>
        <v>Mid (3K-7K)</v>
      </c>
      <c r="AN846" t="str">
        <f t="shared" si="69"/>
        <v>Normal</v>
      </c>
    </row>
    <row r="847" spans="1:40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 t="shared" si="65"/>
        <v>0</v>
      </c>
      <c r="AK847" t="str">
        <f t="shared" si="66"/>
        <v>35-44</v>
      </c>
      <c r="AL847" t="str">
        <f t="shared" si="67"/>
        <v>0-1 yrs (New)</v>
      </c>
      <c r="AM847" t="str">
        <f t="shared" si="68"/>
        <v>Mid (3K-7K)</v>
      </c>
      <c r="AN847" t="str">
        <f t="shared" si="69"/>
        <v>Normal</v>
      </c>
    </row>
    <row r="848" spans="1:40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 t="shared" si="65"/>
        <v>0</v>
      </c>
      <c r="AK848" t="str">
        <f t="shared" si="66"/>
        <v>35-44</v>
      </c>
      <c r="AL848" t="str">
        <f t="shared" si="67"/>
        <v>5-9 yrs (Senior)</v>
      </c>
      <c r="AM848" t="str">
        <f t="shared" si="68"/>
        <v>High (7K-12K)</v>
      </c>
      <c r="AN848" t="str">
        <f t="shared" si="69"/>
        <v>Normal</v>
      </c>
    </row>
    <row r="849" spans="1:40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 t="shared" si="65"/>
        <v>0</v>
      </c>
      <c r="AK849" t="str">
        <f t="shared" si="66"/>
        <v>25-34</v>
      </c>
      <c r="AL849" t="str">
        <f t="shared" si="67"/>
        <v>10+ yrs (Veteran)</v>
      </c>
      <c r="AM849" t="str">
        <f t="shared" si="68"/>
        <v>Mid (3K-7K)</v>
      </c>
      <c r="AN849" t="str">
        <f t="shared" si="69"/>
        <v>Normal</v>
      </c>
    </row>
    <row r="850" spans="1:40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 t="shared" si="65"/>
        <v>0</v>
      </c>
      <c r="AK850" t="str">
        <f t="shared" si="66"/>
        <v>35-44</v>
      </c>
      <c r="AL850" t="str">
        <f t="shared" si="67"/>
        <v>2-4 yrs (Mid)</v>
      </c>
      <c r="AM850" t="str">
        <f t="shared" si="68"/>
        <v>Low (&lt;3K)</v>
      </c>
      <c r="AN850" t="str">
        <f t="shared" si="69"/>
        <v>Normal</v>
      </c>
    </row>
    <row r="851" spans="1:40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 t="shared" si="65"/>
        <v>1</v>
      </c>
      <c r="AK851" t="str">
        <f t="shared" si="66"/>
        <v>35-44</v>
      </c>
      <c r="AL851" t="str">
        <f t="shared" si="67"/>
        <v>2-4 yrs (Mid)</v>
      </c>
      <c r="AM851" t="str">
        <f t="shared" si="68"/>
        <v>Mid (3K-7K)</v>
      </c>
      <c r="AN851" t="str">
        <f t="shared" si="69"/>
        <v>Normal</v>
      </c>
    </row>
    <row r="852" spans="1:40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 t="shared" si="65"/>
        <v>0</v>
      </c>
      <c r="AK852" t="str">
        <f t="shared" si="66"/>
        <v>25-34</v>
      </c>
      <c r="AL852" t="str">
        <f t="shared" si="67"/>
        <v>0-1 yrs (New)</v>
      </c>
      <c r="AM852" t="str">
        <f t="shared" si="68"/>
        <v>Low (&lt;3K)</v>
      </c>
      <c r="AN852" t="str">
        <f t="shared" si="69"/>
        <v>Normal</v>
      </c>
    </row>
    <row r="853" spans="1:40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 t="shared" si="65"/>
        <v>0</v>
      </c>
      <c r="AK853" t="str">
        <f t="shared" si="66"/>
        <v>55+</v>
      </c>
      <c r="AL853" t="str">
        <f t="shared" si="67"/>
        <v>5-9 yrs (Senior)</v>
      </c>
      <c r="AM853" t="str">
        <f t="shared" si="68"/>
        <v>Very High (12K+)</v>
      </c>
      <c r="AN853" t="str">
        <f t="shared" si="69"/>
        <v>Normal</v>
      </c>
    </row>
    <row r="854" spans="1:40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 t="shared" si="65"/>
        <v>0</v>
      </c>
      <c r="AK854" t="str">
        <f t="shared" si="66"/>
        <v>25-34</v>
      </c>
      <c r="AL854" t="str">
        <f t="shared" si="67"/>
        <v>10+ yrs (Veteran)</v>
      </c>
      <c r="AM854" t="str">
        <f t="shared" si="68"/>
        <v>Mid (3K-7K)</v>
      </c>
      <c r="AN854" t="str">
        <f t="shared" si="69"/>
        <v>Normal</v>
      </c>
    </row>
    <row r="855" spans="1:40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 t="shared" si="65"/>
        <v>0</v>
      </c>
      <c r="AK855" t="str">
        <f t="shared" si="66"/>
        <v>Under 25</v>
      </c>
      <c r="AL855" t="str">
        <f t="shared" si="67"/>
        <v>0-1 yrs (New)</v>
      </c>
      <c r="AM855" t="str">
        <f t="shared" si="68"/>
        <v>Low (&lt;3K)</v>
      </c>
      <c r="AN855" t="str">
        <f t="shared" si="69"/>
        <v>Normal</v>
      </c>
    </row>
    <row r="856" spans="1:40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 t="shared" si="65"/>
        <v>0</v>
      </c>
      <c r="AK856" t="str">
        <f t="shared" si="66"/>
        <v>45-54</v>
      </c>
      <c r="AL856" t="str">
        <f t="shared" si="67"/>
        <v>2-4 yrs (Mid)</v>
      </c>
      <c r="AM856" t="str">
        <f t="shared" si="68"/>
        <v>Mid (3K-7K)</v>
      </c>
      <c r="AN856" t="str">
        <f t="shared" si="69"/>
        <v>Normal</v>
      </c>
    </row>
    <row r="857" spans="1:40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 t="shared" si="65"/>
        <v>0</v>
      </c>
      <c r="AK857" t="str">
        <f t="shared" si="66"/>
        <v>35-44</v>
      </c>
      <c r="AL857" t="str">
        <f t="shared" si="67"/>
        <v>10+ yrs (Veteran)</v>
      </c>
      <c r="AM857" t="str">
        <f t="shared" si="68"/>
        <v>Mid (3K-7K)</v>
      </c>
      <c r="AN857" t="str">
        <f t="shared" si="69"/>
        <v>Normal</v>
      </c>
    </row>
    <row r="858" spans="1:40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 t="shared" si="65"/>
        <v>0</v>
      </c>
      <c r="AK858" t="str">
        <f t="shared" si="66"/>
        <v>Under 25</v>
      </c>
      <c r="AL858" t="str">
        <f t="shared" si="67"/>
        <v>2-4 yrs (Mid)</v>
      </c>
      <c r="AM858" t="str">
        <f t="shared" si="68"/>
        <v>Mid (3K-7K)</v>
      </c>
      <c r="AN858" t="str">
        <f t="shared" si="69"/>
        <v>Normal</v>
      </c>
    </row>
    <row r="859" spans="1:40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 t="shared" si="65"/>
        <v>1</v>
      </c>
      <c r="AK859" t="str">
        <f t="shared" si="66"/>
        <v>35-44</v>
      </c>
      <c r="AL859" t="str">
        <f t="shared" si="67"/>
        <v>5-9 yrs (Senior)</v>
      </c>
      <c r="AM859" t="str">
        <f t="shared" si="68"/>
        <v>Low (&lt;3K)</v>
      </c>
      <c r="AN859" t="str">
        <f t="shared" si="69"/>
        <v>Normal</v>
      </c>
    </row>
    <row r="860" spans="1:40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 t="shared" si="65"/>
        <v>0</v>
      </c>
      <c r="AK860" t="str">
        <f t="shared" si="66"/>
        <v>45-54</v>
      </c>
      <c r="AL860" t="str">
        <f t="shared" si="67"/>
        <v>5-9 yrs (Senior)</v>
      </c>
      <c r="AM860" t="str">
        <f t="shared" si="68"/>
        <v>Very High (12K+)</v>
      </c>
      <c r="AN860" t="str">
        <f t="shared" si="69"/>
        <v>Normal</v>
      </c>
    </row>
    <row r="861" spans="1:40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 t="shared" si="65"/>
        <v>0</v>
      </c>
      <c r="AK861" t="str">
        <f t="shared" si="66"/>
        <v>25-34</v>
      </c>
      <c r="AL861" t="str">
        <f t="shared" si="67"/>
        <v>5-9 yrs (Senior)</v>
      </c>
      <c r="AM861" t="str">
        <f t="shared" si="68"/>
        <v>Low (&lt;3K)</v>
      </c>
      <c r="AN861" t="str">
        <f t="shared" si="69"/>
        <v>Normal</v>
      </c>
    </row>
    <row r="862" spans="1:40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 t="shared" si="65"/>
        <v>1</v>
      </c>
      <c r="AK862" t="str">
        <f t="shared" si="66"/>
        <v>Under 25</v>
      </c>
      <c r="AL862" t="str">
        <f t="shared" si="67"/>
        <v>0-1 yrs (New)</v>
      </c>
      <c r="AM862" t="str">
        <f t="shared" si="68"/>
        <v>Low (&lt;3K)</v>
      </c>
      <c r="AN862" t="str">
        <f t="shared" si="69"/>
        <v>Normal</v>
      </c>
    </row>
    <row r="863" spans="1:40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 t="shared" si="65"/>
        <v>0</v>
      </c>
      <c r="AK863" t="str">
        <f t="shared" si="66"/>
        <v>45-54</v>
      </c>
      <c r="AL863" t="str">
        <f t="shared" si="67"/>
        <v>10+ yrs (Veteran)</v>
      </c>
      <c r="AM863" t="str">
        <f t="shared" si="68"/>
        <v>Very High (12K+)</v>
      </c>
      <c r="AN863" t="str">
        <f t="shared" si="69"/>
        <v>Normal</v>
      </c>
    </row>
    <row r="864" spans="1:40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 t="shared" si="65"/>
        <v>0</v>
      </c>
      <c r="AK864" t="str">
        <f t="shared" si="66"/>
        <v>35-44</v>
      </c>
      <c r="AL864" t="str">
        <f t="shared" si="67"/>
        <v>0-1 yrs (New)</v>
      </c>
      <c r="AM864" t="str">
        <f t="shared" si="68"/>
        <v>Low (&lt;3K)</v>
      </c>
      <c r="AN864" t="str">
        <f t="shared" si="69"/>
        <v>Normal</v>
      </c>
    </row>
    <row r="865" spans="1:40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 t="shared" si="65"/>
        <v>0</v>
      </c>
      <c r="AK865" t="str">
        <f t="shared" si="66"/>
        <v>25-34</v>
      </c>
      <c r="AL865" t="str">
        <f t="shared" si="67"/>
        <v>5-9 yrs (Senior)</v>
      </c>
      <c r="AM865" t="str">
        <f t="shared" si="68"/>
        <v>Mid (3K-7K)</v>
      </c>
      <c r="AN865" t="str">
        <f t="shared" si="69"/>
        <v>Normal</v>
      </c>
    </row>
    <row r="866" spans="1:40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 t="shared" si="65"/>
        <v>1</v>
      </c>
      <c r="AK866" t="str">
        <f t="shared" si="66"/>
        <v>35-44</v>
      </c>
      <c r="AL866" t="str">
        <f t="shared" si="67"/>
        <v>0-1 yrs (New)</v>
      </c>
      <c r="AM866" t="str">
        <f t="shared" si="68"/>
        <v>Low (&lt;3K)</v>
      </c>
      <c r="AN866" t="str">
        <f t="shared" si="69"/>
        <v>Normal</v>
      </c>
    </row>
    <row r="867" spans="1:40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 t="shared" si="65"/>
        <v>0</v>
      </c>
      <c r="AK867" t="str">
        <f t="shared" si="66"/>
        <v>25-34</v>
      </c>
      <c r="AL867" t="str">
        <f t="shared" si="67"/>
        <v>2-4 yrs (Mid)</v>
      </c>
      <c r="AM867" t="str">
        <f t="shared" si="68"/>
        <v>Mid (3K-7K)</v>
      </c>
      <c r="AN867" t="str">
        <f t="shared" si="69"/>
        <v>Normal</v>
      </c>
    </row>
    <row r="868" spans="1:40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 t="shared" si="65"/>
        <v>0</v>
      </c>
      <c r="AK868" t="str">
        <f t="shared" si="66"/>
        <v>35-44</v>
      </c>
      <c r="AL868" t="str">
        <f t="shared" si="67"/>
        <v>0-1 yrs (New)</v>
      </c>
      <c r="AM868" t="str">
        <f t="shared" si="68"/>
        <v>Mid (3K-7K)</v>
      </c>
      <c r="AN868" t="str">
        <f t="shared" si="69"/>
        <v>Normal</v>
      </c>
    </row>
    <row r="869" spans="1:40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 t="shared" si="65"/>
        <v>0</v>
      </c>
      <c r="AK869" t="str">
        <f t="shared" si="66"/>
        <v>45-54</v>
      </c>
      <c r="AL869" t="str">
        <f t="shared" si="67"/>
        <v>2-4 yrs (Mid)</v>
      </c>
      <c r="AM869" t="str">
        <f t="shared" si="68"/>
        <v>Very High (12K+)</v>
      </c>
      <c r="AN869" t="str">
        <f t="shared" si="69"/>
        <v>Normal</v>
      </c>
    </row>
    <row r="870" spans="1:40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 t="shared" si="65"/>
        <v>0</v>
      </c>
      <c r="AK870" t="str">
        <f t="shared" si="66"/>
        <v>25-34</v>
      </c>
      <c r="AL870" t="str">
        <f t="shared" si="67"/>
        <v>5-9 yrs (Senior)</v>
      </c>
      <c r="AM870" t="str">
        <f t="shared" si="68"/>
        <v>Mid (3K-7K)</v>
      </c>
      <c r="AN870" t="str">
        <f t="shared" si="69"/>
        <v>Normal</v>
      </c>
    </row>
    <row r="871" spans="1:40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 t="shared" si="65"/>
        <v>0</v>
      </c>
      <c r="AK871" t="str">
        <f t="shared" si="66"/>
        <v>45-54</v>
      </c>
      <c r="AL871" t="str">
        <f t="shared" si="67"/>
        <v>2-4 yrs (Mid)</v>
      </c>
      <c r="AM871" t="str">
        <f t="shared" si="68"/>
        <v>Very High (12K+)</v>
      </c>
      <c r="AN871" t="str">
        <f t="shared" si="69"/>
        <v>Normal</v>
      </c>
    </row>
    <row r="872" spans="1:40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 t="shared" si="65"/>
        <v>0</v>
      </c>
      <c r="AK872" t="str">
        <f t="shared" si="66"/>
        <v>35-44</v>
      </c>
      <c r="AL872" t="str">
        <f t="shared" si="67"/>
        <v>5-9 yrs (Senior)</v>
      </c>
      <c r="AM872" t="str">
        <f t="shared" si="68"/>
        <v>High (7K-12K)</v>
      </c>
      <c r="AN872" t="str">
        <f t="shared" si="69"/>
        <v>High Risk</v>
      </c>
    </row>
    <row r="873" spans="1:40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 t="shared" si="65"/>
        <v>1</v>
      </c>
      <c r="AK873" t="str">
        <f t="shared" si="66"/>
        <v>Under 25</v>
      </c>
      <c r="AL873" t="str">
        <f t="shared" si="67"/>
        <v>0-1 yrs (New)</v>
      </c>
      <c r="AM873" t="str">
        <f t="shared" si="68"/>
        <v>Low (&lt;3K)</v>
      </c>
      <c r="AN873" t="str">
        <f t="shared" si="69"/>
        <v>Normal</v>
      </c>
    </row>
    <row r="874" spans="1:40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 t="shared" si="65"/>
        <v>0</v>
      </c>
      <c r="AK874" t="str">
        <f t="shared" si="66"/>
        <v>25-34</v>
      </c>
      <c r="AL874" t="str">
        <f t="shared" si="67"/>
        <v>10+ yrs (Veteran)</v>
      </c>
      <c r="AM874" t="str">
        <f t="shared" si="68"/>
        <v>Mid (3K-7K)</v>
      </c>
      <c r="AN874" t="str">
        <f t="shared" si="69"/>
        <v>Normal</v>
      </c>
    </row>
    <row r="875" spans="1:40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 t="shared" si="65"/>
        <v>0</v>
      </c>
      <c r="AK875" t="str">
        <f t="shared" si="66"/>
        <v>35-44</v>
      </c>
      <c r="AL875" t="str">
        <f t="shared" si="67"/>
        <v>5-9 yrs (Senior)</v>
      </c>
      <c r="AM875" t="str">
        <f t="shared" si="68"/>
        <v>Low (&lt;3K)</v>
      </c>
      <c r="AN875" t="str">
        <f t="shared" si="69"/>
        <v>Normal</v>
      </c>
    </row>
    <row r="876" spans="1:40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 t="shared" si="65"/>
        <v>0</v>
      </c>
      <c r="AK876" t="str">
        <f t="shared" si="66"/>
        <v>25-34</v>
      </c>
      <c r="AL876" t="str">
        <f t="shared" si="67"/>
        <v>10+ yrs (Veteran)</v>
      </c>
      <c r="AM876" t="str">
        <f t="shared" si="68"/>
        <v>Mid (3K-7K)</v>
      </c>
      <c r="AN876" t="str">
        <f t="shared" si="69"/>
        <v>Normal</v>
      </c>
    </row>
    <row r="877" spans="1:40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 t="shared" si="65"/>
        <v>0</v>
      </c>
      <c r="AK877" t="str">
        <f t="shared" si="66"/>
        <v>35-44</v>
      </c>
      <c r="AL877" t="str">
        <f t="shared" si="67"/>
        <v>10+ yrs (Veteran)</v>
      </c>
      <c r="AM877" t="str">
        <f t="shared" si="68"/>
        <v>Mid (3K-7K)</v>
      </c>
      <c r="AN877" t="str">
        <f t="shared" si="69"/>
        <v>Normal</v>
      </c>
    </row>
    <row r="878" spans="1:40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 t="shared" si="65"/>
        <v>0</v>
      </c>
      <c r="AK878" t="str">
        <f t="shared" si="66"/>
        <v>Under 25</v>
      </c>
      <c r="AL878" t="str">
        <f t="shared" si="67"/>
        <v>2-4 yrs (Mid)</v>
      </c>
      <c r="AM878" t="str">
        <f t="shared" si="68"/>
        <v>Low (&lt;3K)</v>
      </c>
      <c r="AN878" t="str">
        <f t="shared" si="69"/>
        <v>Normal</v>
      </c>
    </row>
    <row r="879" spans="1:40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 t="shared" si="65"/>
        <v>0</v>
      </c>
      <c r="AK879" t="str">
        <f t="shared" si="66"/>
        <v>45-54</v>
      </c>
      <c r="AL879" t="str">
        <f t="shared" si="67"/>
        <v>5-9 yrs (Senior)</v>
      </c>
      <c r="AM879" t="str">
        <f t="shared" si="68"/>
        <v>High (7K-12K)</v>
      </c>
      <c r="AN879" t="str">
        <f t="shared" si="69"/>
        <v>Normal</v>
      </c>
    </row>
    <row r="880" spans="1:40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 t="shared" si="65"/>
        <v>0</v>
      </c>
      <c r="AK880" t="str">
        <f t="shared" si="66"/>
        <v>35-44</v>
      </c>
      <c r="AL880" t="str">
        <f t="shared" si="67"/>
        <v>2-4 yrs (Mid)</v>
      </c>
      <c r="AM880" t="str">
        <f t="shared" si="68"/>
        <v>Mid (3K-7K)</v>
      </c>
      <c r="AN880" t="str">
        <f t="shared" si="69"/>
        <v>Normal</v>
      </c>
    </row>
    <row r="881" spans="1:40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 t="shared" si="65"/>
        <v>0</v>
      </c>
      <c r="AK881" t="str">
        <f t="shared" si="66"/>
        <v>55+</v>
      </c>
      <c r="AL881" t="str">
        <f t="shared" si="67"/>
        <v>10+ yrs (Veteran)</v>
      </c>
      <c r="AM881" t="str">
        <f t="shared" si="68"/>
        <v>Mid (3K-7K)</v>
      </c>
      <c r="AN881" t="str">
        <f t="shared" si="69"/>
        <v>Normal</v>
      </c>
    </row>
    <row r="882" spans="1:40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 t="shared" si="65"/>
        <v>0</v>
      </c>
      <c r="AK882" t="str">
        <f t="shared" si="66"/>
        <v>25-34</v>
      </c>
      <c r="AL882" t="str">
        <f t="shared" si="67"/>
        <v>2-4 yrs (Mid)</v>
      </c>
      <c r="AM882" t="str">
        <f t="shared" si="68"/>
        <v>Low (&lt;3K)</v>
      </c>
      <c r="AN882" t="str">
        <f t="shared" si="69"/>
        <v>Normal</v>
      </c>
    </row>
    <row r="883" spans="1:40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 t="shared" si="65"/>
        <v>0</v>
      </c>
      <c r="AK883" t="str">
        <f t="shared" si="66"/>
        <v>25-34</v>
      </c>
      <c r="AL883" t="str">
        <f t="shared" si="67"/>
        <v>5-9 yrs (Senior)</v>
      </c>
      <c r="AM883" t="str">
        <f t="shared" si="68"/>
        <v>Mid (3K-7K)</v>
      </c>
      <c r="AN883" t="str">
        <f t="shared" si="69"/>
        <v>Normal</v>
      </c>
    </row>
    <row r="884" spans="1:40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 t="shared" si="65"/>
        <v>0</v>
      </c>
      <c r="AK884" t="str">
        <f t="shared" si="66"/>
        <v>35-44</v>
      </c>
      <c r="AL884" t="str">
        <f t="shared" si="67"/>
        <v>5-9 yrs (Senior)</v>
      </c>
      <c r="AM884" t="str">
        <f t="shared" si="68"/>
        <v>High (7K-12K)</v>
      </c>
      <c r="AN884" t="str">
        <f t="shared" si="69"/>
        <v>High Risk</v>
      </c>
    </row>
    <row r="885" spans="1:40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 t="shared" si="65"/>
        <v>0</v>
      </c>
      <c r="AK885" t="str">
        <f t="shared" si="66"/>
        <v>25-34</v>
      </c>
      <c r="AL885" t="str">
        <f t="shared" si="67"/>
        <v>10+ yrs (Veteran)</v>
      </c>
      <c r="AM885" t="str">
        <f t="shared" si="68"/>
        <v>Low (&lt;3K)</v>
      </c>
      <c r="AN885" t="str">
        <f t="shared" si="69"/>
        <v>Normal</v>
      </c>
    </row>
    <row r="886" spans="1:40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 t="shared" si="65"/>
        <v>0</v>
      </c>
      <c r="AK886" t="str">
        <f t="shared" si="66"/>
        <v>35-44</v>
      </c>
      <c r="AL886" t="str">
        <f t="shared" si="67"/>
        <v>5-9 yrs (Senior)</v>
      </c>
      <c r="AM886" t="str">
        <f t="shared" si="68"/>
        <v>Mid (3K-7K)</v>
      </c>
      <c r="AN886" t="str">
        <f t="shared" si="69"/>
        <v>Normal</v>
      </c>
    </row>
    <row r="887" spans="1:40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 t="shared" si="65"/>
        <v>0</v>
      </c>
      <c r="AK887" t="str">
        <f t="shared" si="66"/>
        <v>25-34</v>
      </c>
      <c r="AL887" t="str">
        <f t="shared" si="67"/>
        <v>2-4 yrs (Mid)</v>
      </c>
      <c r="AM887" t="str">
        <f t="shared" si="68"/>
        <v>Mid (3K-7K)</v>
      </c>
      <c r="AN887" t="str">
        <f t="shared" si="69"/>
        <v>Normal</v>
      </c>
    </row>
    <row r="888" spans="1:40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 t="shared" si="65"/>
        <v>0</v>
      </c>
      <c r="AK888" t="str">
        <f t="shared" si="66"/>
        <v>25-34</v>
      </c>
      <c r="AL888" t="str">
        <f t="shared" si="67"/>
        <v>10+ yrs (Veteran)</v>
      </c>
      <c r="AM888" t="str">
        <f t="shared" si="68"/>
        <v>Mid (3K-7K)</v>
      </c>
      <c r="AN888" t="str">
        <f t="shared" si="69"/>
        <v>High Risk</v>
      </c>
    </row>
    <row r="889" spans="1:40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 t="shared" si="65"/>
        <v>0</v>
      </c>
      <c r="AK889" t="str">
        <f t="shared" si="66"/>
        <v>35-44</v>
      </c>
      <c r="AL889" t="str">
        <f t="shared" si="67"/>
        <v>0-1 yrs (New)</v>
      </c>
      <c r="AM889" t="str">
        <f t="shared" si="68"/>
        <v>Very High (12K+)</v>
      </c>
      <c r="AN889" t="str">
        <f t="shared" si="69"/>
        <v>High Risk</v>
      </c>
    </row>
    <row r="890" spans="1:40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 t="shared" si="65"/>
        <v>0</v>
      </c>
      <c r="AK890" t="str">
        <f t="shared" si="66"/>
        <v>35-44</v>
      </c>
      <c r="AL890" t="str">
        <f t="shared" si="67"/>
        <v>10+ yrs (Veteran)</v>
      </c>
      <c r="AM890" t="str">
        <f t="shared" si="68"/>
        <v>High (7K-12K)</v>
      </c>
      <c r="AN890" t="str">
        <f t="shared" si="69"/>
        <v>Normal</v>
      </c>
    </row>
    <row r="891" spans="1:40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 t="shared" si="65"/>
        <v>0</v>
      </c>
      <c r="AK891" t="str">
        <f t="shared" si="66"/>
        <v>25-34</v>
      </c>
      <c r="AL891" t="str">
        <f t="shared" si="67"/>
        <v>5-9 yrs (Senior)</v>
      </c>
      <c r="AM891" t="str">
        <f t="shared" si="68"/>
        <v>Low (&lt;3K)</v>
      </c>
      <c r="AN891" t="str">
        <f t="shared" si="69"/>
        <v>High Risk</v>
      </c>
    </row>
    <row r="892" spans="1:40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 t="shared" si="65"/>
        <v>0</v>
      </c>
      <c r="AK892" t="str">
        <f t="shared" si="66"/>
        <v>45-54</v>
      </c>
      <c r="AL892" t="str">
        <f t="shared" si="67"/>
        <v>5-9 yrs (Senior)</v>
      </c>
      <c r="AM892" t="str">
        <f t="shared" si="68"/>
        <v>High (7K-12K)</v>
      </c>
      <c r="AN892" t="str">
        <f t="shared" si="69"/>
        <v>Normal</v>
      </c>
    </row>
    <row r="893" spans="1:40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 t="shared" si="65"/>
        <v>0</v>
      </c>
      <c r="AK893" t="str">
        <f t="shared" si="66"/>
        <v>35-44</v>
      </c>
      <c r="AL893" t="str">
        <f t="shared" si="67"/>
        <v>10+ yrs (Veteran)</v>
      </c>
      <c r="AM893" t="str">
        <f t="shared" si="68"/>
        <v>Low (&lt;3K)</v>
      </c>
      <c r="AN893" t="str">
        <f t="shared" si="69"/>
        <v>Normal</v>
      </c>
    </row>
    <row r="894" spans="1:40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 t="shared" si="65"/>
        <v>1</v>
      </c>
      <c r="AK894" t="str">
        <f t="shared" si="66"/>
        <v>Under 25</v>
      </c>
      <c r="AL894" t="str">
        <f t="shared" si="67"/>
        <v>0-1 yrs (New)</v>
      </c>
      <c r="AM894" t="str">
        <f t="shared" si="68"/>
        <v>Low (&lt;3K)</v>
      </c>
      <c r="AN894" t="str">
        <f t="shared" si="69"/>
        <v>High Risk</v>
      </c>
    </row>
    <row r="895" spans="1:40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 t="shared" si="65"/>
        <v>0</v>
      </c>
      <c r="AK895" t="str">
        <f t="shared" si="66"/>
        <v>25-34</v>
      </c>
      <c r="AL895" t="str">
        <f t="shared" si="67"/>
        <v>2-4 yrs (Mid)</v>
      </c>
      <c r="AM895" t="str">
        <f t="shared" si="68"/>
        <v>Mid (3K-7K)</v>
      </c>
      <c r="AN895" t="str">
        <f t="shared" si="69"/>
        <v>Normal</v>
      </c>
    </row>
    <row r="896" spans="1:40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 t="shared" si="65"/>
        <v>0</v>
      </c>
      <c r="AK896" t="str">
        <f t="shared" si="66"/>
        <v>45-54</v>
      </c>
      <c r="AL896" t="str">
        <f t="shared" si="67"/>
        <v>10+ yrs (Veteran)</v>
      </c>
      <c r="AM896" t="str">
        <f t="shared" si="68"/>
        <v>Very High (12K+)</v>
      </c>
      <c r="AN896" t="str">
        <f t="shared" si="69"/>
        <v>Normal</v>
      </c>
    </row>
    <row r="897" spans="1:40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 t="shared" si="65"/>
        <v>0</v>
      </c>
      <c r="AK897" t="str">
        <f t="shared" si="66"/>
        <v>25-34</v>
      </c>
      <c r="AL897" t="str">
        <f t="shared" si="67"/>
        <v>5-9 yrs (Senior)</v>
      </c>
      <c r="AM897" t="str">
        <f t="shared" si="68"/>
        <v>Mid (3K-7K)</v>
      </c>
      <c r="AN897" t="str">
        <f t="shared" si="69"/>
        <v>High Risk</v>
      </c>
    </row>
    <row r="898" spans="1:40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 t="shared" si="65"/>
        <v>0</v>
      </c>
      <c r="AK898" t="str">
        <f t="shared" si="66"/>
        <v>25-34</v>
      </c>
      <c r="AL898" t="str">
        <f t="shared" si="67"/>
        <v>10+ yrs (Veteran)</v>
      </c>
      <c r="AM898" t="str">
        <f t="shared" si="68"/>
        <v>Mid (3K-7K)</v>
      </c>
      <c r="AN898" t="str">
        <f t="shared" si="69"/>
        <v>Normal</v>
      </c>
    </row>
    <row r="899" spans="1:40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 t="shared" ref="AJ899:AJ962" si="70">IF(B899="Yes", 1, 0)</f>
        <v>0</v>
      </c>
      <c r="AK899" t="str">
        <f t="shared" ref="AK899:AK962" si="71">IF(A899&lt;25, "Under 25", IF(A899&lt;35, "25-34", IF(A899&lt;45, "35-44", IF(A899&lt;55, "45-54", "55+"))))</f>
        <v>55+</v>
      </c>
      <c r="AL899" t="str">
        <f t="shared" ref="AL899:AL962" si="72">IF(AF899&lt;2, "0-1 yrs (New)", IF(AF899&lt;5, "2-4 yrs (Mid)", IF(AF899&lt;10, "5-9 yrs (Senior)", "10+ yrs (Veteran)")))</f>
        <v>5-9 yrs (Senior)</v>
      </c>
      <c r="AM899" t="str">
        <f t="shared" ref="AM899:AM962" si="73">IF(S899&lt;3000, "Low (&lt;3K)", IF(S899&lt;7000, "Mid (3K-7K)", IF(S899&lt;12000, "High (7K-12K)", "Very High (12K+)")))</f>
        <v>Mid (3K-7K)</v>
      </c>
      <c r="AN899" t="str">
        <f t="shared" ref="AN899:AN962" si="74">IF(AND(W899="Yes", Q899&lt;=2), "High Risk", "Normal")</f>
        <v>Normal</v>
      </c>
    </row>
    <row r="900" spans="1:40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 t="shared" si="70"/>
        <v>0</v>
      </c>
      <c r="AK900" t="str">
        <f t="shared" si="71"/>
        <v>35-44</v>
      </c>
      <c r="AL900" t="str">
        <f t="shared" si="72"/>
        <v>5-9 yrs (Senior)</v>
      </c>
      <c r="AM900" t="str">
        <f t="shared" si="73"/>
        <v>Very High (12K+)</v>
      </c>
      <c r="AN900" t="str">
        <f t="shared" si="74"/>
        <v>Normal</v>
      </c>
    </row>
    <row r="901" spans="1:40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 t="shared" si="70"/>
        <v>0</v>
      </c>
      <c r="AK901" t="str">
        <f t="shared" si="71"/>
        <v>45-54</v>
      </c>
      <c r="AL901" t="str">
        <f t="shared" si="72"/>
        <v>0-1 yrs (New)</v>
      </c>
      <c r="AM901" t="str">
        <f t="shared" si="73"/>
        <v>Very High (12K+)</v>
      </c>
      <c r="AN901" t="str">
        <f t="shared" si="74"/>
        <v>Normal</v>
      </c>
    </row>
    <row r="902" spans="1:40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 t="shared" si="70"/>
        <v>0</v>
      </c>
      <c r="AK902" t="str">
        <f t="shared" si="71"/>
        <v>35-44</v>
      </c>
      <c r="AL902" t="str">
        <f t="shared" si="72"/>
        <v>10+ yrs (Veteran)</v>
      </c>
      <c r="AM902" t="str">
        <f t="shared" si="73"/>
        <v>Mid (3K-7K)</v>
      </c>
      <c r="AN902" t="str">
        <f t="shared" si="74"/>
        <v>Normal</v>
      </c>
    </row>
    <row r="903" spans="1:40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 t="shared" si="70"/>
        <v>0</v>
      </c>
      <c r="AK903" t="str">
        <f t="shared" si="71"/>
        <v>45-54</v>
      </c>
      <c r="AL903" t="str">
        <f t="shared" si="72"/>
        <v>0-1 yrs (New)</v>
      </c>
      <c r="AM903" t="str">
        <f t="shared" si="73"/>
        <v>Low (&lt;3K)</v>
      </c>
      <c r="AN903" t="str">
        <f t="shared" si="74"/>
        <v>Normal</v>
      </c>
    </row>
    <row r="904" spans="1:40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 t="shared" si="70"/>
        <v>0</v>
      </c>
      <c r="AK904" t="str">
        <f t="shared" si="71"/>
        <v>25-34</v>
      </c>
      <c r="AL904" t="str">
        <f t="shared" si="72"/>
        <v>5-9 yrs (Senior)</v>
      </c>
      <c r="AM904" t="str">
        <f t="shared" si="73"/>
        <v>Low (&lt;3K)</v>
      </c>
      <c r="AN904" t="str">
        <f t="shared" si="74"/>
        <v>Normal</v>
      </c>
    </row>
    <row r="905" spans="1:40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 t="shared" si="70"/>
        <v>0</v>
      </c>
      <c r="AK905" t="str">
        <f t="shared" si="71"/>
        <v>25-34</v>
      </c>
      <c r="AL905" t="str">
        <f t="shared" si="72"/>
        <v>5-9 yrs (Senior)</v>
      </c>
      <c r="AM905" t="str">
        <f t="shared" si="73"/>
        <v>Mid (3K-7K)</v>
      </c>
      <c r="AN905" t="str">
        <f t="shared" si="74"/>
        <v>Normal</v>
      </c>
    </row>
    <row r="906" spans="1:40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 t="shared" si="70"/>
        <v>0</v>
      </c>
      <c r="AK906" t="str">
        <f t="shared" si="71"/>
        <v>45-54</v>
      </c>
      <c r="AL906" t="str">
        <f t="shared" si="72"/>
        <v>0-1 yrs (New)</v>
      </c>
      <c r="AM906" t="str">
        <f t="shared" si="73"/>
        <v>Very High (12K+)</v>
      </c>
      <c r="AN906" t="str">
        <f t="shared" si="74"/>
        <v>Normal</v>
      </c>
    </row>
    <row r="907" spans="1:40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 t="shared" si="70"/>
        <v>0</v>
      </c>
      <c r="AK907" t="str">
        <f t="shared" si="71"/>
        <v>25-34</v>
      </c>
      <c r="AL907" t="str">
        <f t="shared" si="72"/>
        <v>5-9 yrs (Senior)</v>
      </c>
      <c r="AM907" t="str">
        <f t="shared" si="73"/>
        <v>Very High (12K+)</v>
      </c>
      <c r="AN907" t="str">
        <f t="shared" si="74"/>
        <v>Normal</v>
      </c>
    </row>
    <row r="908" spans="1:40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 t="shared" si="70"/>
        <v>0</v>
      </c>
      <c r="AK908" t="str">
        <f t="shared" si="71"/>
        <v>25-34</v>
      </c>
      <c r="AL908" t="str">
        <f t="shared" si="72"/>
        <v>0-1 yrs (New)</v>
      </c>
      <c r="AM908" t="str">
        <f t="shared" si="73"/>
        <v>Low (&lt;3K)</v>
      </c>
      <c r="AN908" t="str">
        <f t="shared" si="74"/>
        <v>Normal</v>
      </c>
    </row>
    <row r="909" spans="1:40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 t="shared" si="70"/>
        <v>0</v>
      </c>
      <c r="AK909" t="str">
        <f t="shared" si="71"/>
        <v>35-44</v>
      </c>
      <c r="AL909" t="str">
        <f t="shared" si="72"/>
        <v>10+ yrs (Veteran)</v>
      </c>
      <c r="AM909" t="str">
        <f t="shared" si="73"/>
        <v>Very High (12K+)</v>
      </c>
      <c r="AN909" t="str">
        <f t="shared" si="74"/>
        <v>Normal</v>
      </c>
    </row>
    <row r="910" spans="1:40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 t="shared" si="70"/>
        <v>0</v>
      </c>
      <c r="AK910" t="str">
        <f t="shared" si="71"/>
        <v>25-34</v>
      </c>
      <c r="AL910" t="str">
        <f t="shared" si="72"/>
        <v>5-9 yrs (Senior)</v>
      </c>
      <c r="AM910" t="str">
        <f t="shared" si="73"/>
        <v>High (7K-12K)</v>
      </c>
      <c r="AN910" t="str">
        <f t="shared" si="74"/>
        <v>Normal</v>
      </c>
    </row>
    <row r="911" spans="1:40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 t="shared" si="70"/>
        <v>0</v>
      </c>
      <c r="AK911" t="str">
        <f t="shared" si="71"/>
        <v>Under 25</v>
      </c>
      <c r="AL911" t="str">
        <f t="shared" si="72"/>
        <v>0-1 yrs (New)</v>
      </c>
      <c r="AM911" t="str">
        <f t="shared" si="73"/>
        <v>Low (&lt;3K)</v>
      </c>
      <c r="AN911" t="str">
        <f t="shared" si="74"/>
        <v>Normal</v>
      </c>
    </row>
    <row r="912" spans="1:40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 t="shared" si="70"/>
        <v>0</v>
      </c>
      <c r="AK912" t="str">
        <f t="shared" si="71"/>
        <v>Under 25</v>
      </c>
      <c r="AL912" t="str">
        <f t="shared" si="72"/>
        <v>0-1 yrs (New)</v>
      </c>
      <c r="AM912" t="str">
        <f t="shared" si="73"/>
        <v>Low (&lt;3K)</v>
      </c>
      <c r="AN912" t="str">
        <f t="shared" si="74"/>
        <v>Normal</v>
      </c>
    </row>
    <row r="913" spans="1:40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 t="shared" si="70"/>
        <v>1</v>
      </c>
      <c r="AK913" t="str">
        <f t="shared" si="71"/>
        <v>25-34</v>
      </c>
      <c r="AL913" t="str">
        <f t="shared" si="72"/>
        <v>0-1 yrs (New)</v>
      </c>
      <c r="AM913" t="str">
        <f t="shared" si="73"/>
        <v>Low (&lt;3K)</v>
      </c>
      <c r="AN913" t="str">
        <f t="shared" si="74"/>
        <v>Normal</v>
      </c>
    </row>
    <row r="914" spans="1:40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 t="shared" si="70"/>
        <v>0</v>
      </c>
      <c r="AK914" t="str">
        <f t="shared" si="71"/>
        <v>25-34</v>
      </c>
      <c r="AL914" t="str">
        <f t="shared" si="72"/>
        <v>5-9 yrs (Senior)</v>
      </c>
      <c r="AM914" t="str">
        <f t="shared" si="73"/>
        <v>Low (&lt;3K)</v>
      </c>
      <c r="AN914" t="str">
        <f t="shared" si="74"/>
        <v>Normal</v>
      </c>
    </row>
    <row r="915" spans="1:40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 t="shared" si="70"/>
        <v>1</v>
      </c>
      <c r="AK915" t="str">
        <f t="shared" si="71"/>
        <v>45-54</v>
      </c>
      <c r="AL915" t="str">
        <f t="shared" si="72"/>
        <v>10+ yrs (Veteran)</v>
      </c>
      <c r="AM915" t="str">
        <f t="shared" si="73"/>
        <v>Very High (12K+)</v>
      </c>
      <c r="AN915" t="str">
        <f t="shared" si="74"/>
        <v>High Risk</v>
      </c>
    </row>
    <row r="916" spans="1:40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 t="shared" si="70"/>
        <v>0</v>
      </c>
      <c r="AK916" t="str">
        <f t="shared" si="71"/>
        <v>55+</v>
      </c>
      <c r="AL916" t="str">
        <f t="shared" si="72"/>
        <v>10+ yrs (Veteran)</v>
      </c>
      <c r="AM916" t="str">
        <f t="shared" si="73"/>
        <v>Very High (12K+)</v>
      </c>
      <c r="AN916" t="str">
        <f t="shared" si="74"/>
        <v>High Risk</v>
      </c>
    </row>
    <row r="917" spans="1:40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 t="shared" si="70"/>
        <v>1</v>
      </c>
      <c r="AK917" t="str">
        <f t="shared" si="71"/>
        <v>Under 25</v>
      </c>
      <c r="AL917" t="str">
        <f t="shared" si="72"/>
        <v>2-4 yrs (Mid)</v>
      </c>
      <c r="AM917" t="str">
        <f t="shared" si="73"/>
        <v>Low (&lt;3K)</v>
      </c>
      <c r="AN917" t="str">
        <f t="shared" si="74"/>
        <v>Normal</v>
      </c>
    </row>
    <row r="918" spans="1:40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 t="shared" si="70"/>
        <v>0</v>
      </c>
      <c r="AK918" t="str">
        <f t="shared" si="71"/>
        <v>45-54</v>
      </c>
      <c r="AL918" t="str">
        <f t="shared" si="72"/>
        <v>10+ yrs (Veteran)</v>
      </c>
      <c r="AM918" t="str">
        <f t="shared" si="73"/>
        <v>Very High (12K+)</v>
      </c>
      <c r="AN918" t="str">
        <f t="shared" si="74"/>
        <v>Normal</v>
      </c>
    </row>
    <row r="919" spans="1:40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 t="shared" si="70"/>
        <v>0</v>
      </c>
      <c r="AK919" t="str">
        <f t="shared" si="71"/>
        <v>25-34</v>
      </c>
      <c r="AL919" t="str">
        <f t="shared" si="72"/>
        <v>2-4 yrs (Mid)</v>
      </c>
      <c r="AM919" t="str">
        <f t="shared" si="73"/>
        <v>Mid (3K-7K)</v>
      </c>
      <c r="AN919" t="str">
        <f t="shared" si="74"/>
        <v>High Risk</v>
      </c>
    </row>
    <row r="920" spans="1:40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 t="shared" si="70"/>
        <v>0</v>
      </c>
      <c r="AK920" t="str">
        <f t="shared" si="71"/>
        <v>45-54</v>
      </c>
      <c r="AL920" t="str">
        <f t="shared" si="72"/>
        <v>10+ yrs (Veteran)</v>
      </c>
      <c r="AM920" t="str">
        <f t="shared" si="73"/>
        <v>Very High (12K+)</v>
      </c>
      <c r="AN920" t="str">
        <f t="shared" si="74"/>
        <v>High Risk</v>
      </c>
    </row>
    <row r="921" spans="1:40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 t="shared" si="70"/>
        <v>0</v>
      </c>
      <c r="AK921" t="str">
        <f t="shared" si="71"/>
        <v>55+</v>
      </c>
      <c r="AL921" t="str">
        <f t="shared" si="72"/>
        <v>5-9 yrs (Senior)</v>
      </c>
      <c r="AM921" t="str">
        <f t="shared" si="73"/>
        <v>High (7K-12K)</v>
      </c>
      <c r="AN921" t="str">
        <f t="shared" si="74"/>
        <v>Normal</v>
      </c>
    </row>
    <row r="922" spans="1:40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 t="shared" si="70"/>
        <v>0</v>
      </c>
      <c r="AK922" t="str">
        <f t="shared" si="71"/>
        <v>25-34</v>
      </c>
      <c r="AL922" t="str">
        <f t="shared" si="72"/>
        <v>10+ yrs (Veteran)</v>
      </c>
      <c r="AM922" t="str">
        <f t="shared" si="73"/>
        <v>Mid (3K-7K)</v>
      </c>
      <c r="AN922" t="str">
        <f t="shared" si="74"/>
        <v>Normal</v>
      </c>
    </row>
    <row r="923" spans="1:40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 t="shared" si="70"/>
        <v>0</v>
      </c>
      <c r="AK923" t="str">
        <f t="shared" si="71"/>
        <v>25-34</v>
      </c>
      <c r="AL923" t="str">
        <f t="shared" si="72"/>
        <v>2-4 yrs (Mid)</v>
      </c>
      <c r="AM923" t="str">
        <f t="shared" si="73"/>
        <v>Low (&lt;3K)</v>
      </c>
      <c r="AN923" t="str">
        <f t="shared" si="74"/>
        <v>Normal</v>
      </c>
    </row>
    <row r="924" spans="1:40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 t="shared" si="70"/>
        <v>0</v>
      </c>
      <c r="AK924" t="str">
        <f t="shared" si="71"/>
        <v>35-44</v>
      </c>
      <c r="AL924" t="str">
        <f t="shared" si="72"/>
        <v>10+ yrs (Veteran)</v>
      </c>
      <c r="AM924" t="str">
        <f t="shared" si="73"/>
        <v>Very High (12K+)</v>
      </c>
      <c r="AN924" t="str">
        <f t="shared" si="74"/>
        <v>Normal</v>
      </c>
    </row>
    <row r="925" spans="1:40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 t="shared" si="70"/>
        <v>0</v>
      </c>
      <c r="AK925" t="str">
        <f t="shared" si="71"/>
        <v>25-34</v>
      </c>
      <c r="AL925" t="str">
        <f t="shared" si="72"/>
        <v>10+ yrs (Veteran)</v>
      </c>
      <c r="AM925" t="str">
        <f t="shared" si="73"/>
        <v>Mid (3K-7K)</v>
      </c>
      <c r="AN925" t="str">
        <f t="shared" si="74"/>
        <v>Normal</v>
      </c>
    </row>
    <row r="926" spans="1:40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 t="shared" si="70"/>
        <v>0</v>
      </c>
      <c r="AK926" t="str">
        <f t="shared" si="71"/>
        <v>35-44</v>
      </c>
      <c r="AL926" t="str">
        <f t="shared" si="72"/>
        <v>2-4 yrs (Mid)</v>
      </c>
      <c r="AM926" t="str">
        <f t="shared" si="73"/>
        <v>Mid (3K-7K)</v>
      </c>
      <c r="AN926" t="str">
        <f t="shared" si="74"/>
        <v>Normal</v>
      </c>
    </row>
    <row r="927" spans="1:40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 t="shared" si="70"/>
        <v>0</v>
      </c>
      <c r="AK927" t="str">
        <f t="shared" si="71"/>
        <v>35-44</v>
      </c>
      <c r="AL927" t="str">
        <f t="shared" si="72"/>
        <v>0-1 yrs (New)</v>
      </c>
      <c r="AM927" t="str">
        <f t="shared" si="73"/>
        <v>Low (&lt;3K)</v>
      </c>
      <c r="AN927" t="str">
        <f t="shared" si="74"/>
        <v>High Risk</v>
      </c>
    </row>
    <row r="928" spans="1:40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 t="shared" si="70"/>
        <v>0</v>
      </c>
      <c r="AK928" t="str">
        <f t="shared" si="71"/>
        <v>35-44</v>
      </c>
      <c r="AL928" t="str">
        <f t="shared" si="72"/>
        <v>10+ yrs (Veteran)</v>
      </c>
      <c r="AM928" t="str">
        <f t="shared" si="73"/>
        <v>High (7K-12K)</v>
      </c>
      <c r="AN928" t="str">
        <f t="shared" si="74"/>
        <v>Normal</v>
      </c>
    </row>
    <row r="929" spans="1:40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 t="shared" si="70"/>
        <v>0</v>
      </c>
      <c r="AK929" t="str">
        <f t="shared" si="71"/>
        <v>35-44</v>
      </c>
      <c r="AL929" t="str">
        <f t="shared" si="72"/>
        <v>10+ yrs (Veteran)</v>
      </c>
      <c r="AM929" t="str">
        <f t="shared" si="73"/>
        <v>Mid (3K-7K)</v>
      </c>
      <c r="AN929" t="str">
        <f t="shared" si="74"/>
        <v>High Risk</v>
      </c>
    </row>
    <row r="930" spans="1:40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 t="shared" si="70"/>
        <v>1</v>
      </c>
      <c r="AK930" t="str">
        <f t="shared" si="71"/>
        <v>35-44</v>
      </c>
      <c r="AL930" t="str">
        <f t="shared" si="72"/>
        <v>10+ yrs (Veteran)</v>
      </c>
      <c r="AM930" t="str">
        <f t="shared" si="73"/>
        <v>High (7K-12K)</v>
      </c>
      <c r="AN930" t="str">
        <f t="shared" si="74"/>
        <v>Normal</v>
      </c>
    </row>
    <row r="931" spans="1:40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 t="shared" si="70"/>
        <v>0</v>
      </c>
      <c r="AK931" t="str">
        <f t="shared" si="71"/>
        <v>25-34</v>
      </c>
      <c r="AL931" t="str">
        <f t="shared" si="72"/>
        <v>2-4 yrs (Mid)</v>
      </c>
      <c r="AM931" t="str">
        <f t="shared" si="73"/>
        <v>Mid (3K-7K)</v>
      </c>
      <c r="AN931" t="str">
        <f t="shared" si="74"/>
        <v>Normal</v>
      </c>
    </row>
    <row r="932" spans="1:40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 t="shared" si="70"/>
        <v>0</v>
      </c>
      <c r="AK932" t="str">
        <f t="shared" si="71"/>
        <v>45-54</v>
      </c>
      <c r="AL932" t="str">
        <f t="shared" si="72"/>
        <v>5-9 yrs (Senior)</v>
      </c>
      <c r="AM932" t="str">
        <f t="shared" si="73"/>
        <v>Low (&lt;3K)</v>
      </c>
      <c r="AN932" t="str">
        <f t="shared" si="74"/>
        <v>Normal</v>
      </c>
    </row>
    <row r="933" spans="1:40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 t="shared" si="70"/>
        <v>0</v>
      </c>
      <c r="AK933" t="str">
        <f t="shared" si="71"/>
        <v>25-34</v>
      </c>
      <c r="AL933" t="str">
        <f t="shared" si="72"/>
        <v>5-9 yrs (Senior)</v>
      </c>
      <c r="AM933" t="str">
        <f t="shared" si="73"/>
        <v>Mid (3K-7K)</v>
      </c>
      <c r="AN933" t="str">
        <f t="shared" si="74"/>
        <v>Normal</v>
      </c>
    </row>
    <row r="934" spans="1:40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 t="shared" si="70"/>
        <v>1</v>
      </c>
      <c r="AK934" t="str">
        <f t="shared" si="71"/>
        <v>25-34</v>
      </c>
      <c r="AL934" t="str">
        <f t="shared" si="72"/>
        <v>5-9 yrs (Senior)</v>
      </c>
      <c r="AM934" t="str">
        <f t="shared" si="73"/>
        <v>Mid (3K-7K)</v>
      </c>
      <c r="AN934" t="str">
        <f t="shared" si="74"/>
        <v>Normal</v>
      </c>
    </row>
    <row r="935" spans="1:40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 t="shared" si="70"/>
        <v>0</v>
      </c>
      <c r="AK935" t="str">
        <f t="shared" si="71"/>
        <v>25-34</v>
      </c>
      <c r="AL935" t="str">
        <f t="shared" si="72"/>
        <v>2-4 yrs (Mid)</v>
      </c>
      <c r="AM935" t="str">
        <f t="shared" si="73"/>
        <v>Low (&lt;3K)</v>
      </c>
      <c r="AN935" t="str">
        <f t="shared" si="74"/>
        <v>Normal</v>
      </c>
    </row>
    <row r="936" spans="1:40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 t="shared" si="70"/>
        <v>0</v>
      </c>
      <c r="AK936" t="str">
        <f t="shared" si="71"/>
        <v>25-34</v>
      </c>
      <c r="AL936" t="str">
        <f t="shared" si="72"/>
        <v>2-4 yrs (Mid)</v>
      </c>
      <c r="AM936" t="str">
        <f t="shared" si="73"/>
        <v>Low (&lt;3K)</v>
      </c>
      <c r="AN936" t="str">
        <f t="shared" si="74"/>
        <v>Normal</v>
      </c>
    </row>
    <row r="937" spans="1:40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 t="shared" si="70"/>
        <v>0</v>
      </c>
      <c r="AK937" t="str">
        <f t="shared" si="71"/>
        <v>25-34</v>
      </c>
      <c r="AL937" t="str">
        <f t="shared" si="72"/>
        <v>10+ yrs (Veteran)</v>
      </c>
      <c r="AM937" t="str">
        <f t="shared" si="73"/>
        <v>Mid (3K-7K)</v>
      </c>
      <c r="AN937" t="str">
        <f t="shared" si="74"/>
        <v>Normal</v>
      </c>
    </row>
    <row r="938" spans="1:40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 t="shared" si="70"/>
        <v>0</v>
      </c>
      <c r="AK938" t="str">
        <f t="shared" si="71"/>
        <v>45-54</v>
      </c>
      <c r="AL938" t="str">
        <f t="shared" si="72"/>
        <v>0-1 yrs (New)</v>
      </c>
      <c r="AM938" t="str">
        <f t="shared" si="73"/>
        <v>Very High (12K+)</v>
      </c>
      <c r="AN938" t="str">
        <f t="shared" si="74"/>
        <v>Normal</v>
      </c>
    </row>
    <row r="939" spans="1:40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 t="shared" si="70"/>
        <v>0</v>
      </c>
      <c r="AK939" t="str">
        <f t="shared" si="71"/>
        <v>35-44</v>
      </c>
      <c r="AL939" t="str">
        <f t="shared" si="72"/>
        <v>10+ yrs (Veteran)</v>
      </c>
      <c r="AM939" t="str">
        <f t="shared" si="73"/>
        <v>Very High (12K+)</v>
      </c>
      <c r="AN939" t="str">
        <f t="shared" si="74"/>
        <v>High Risk</v>
      </c>
    </row>
    <row r="940" spans="1:40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 t="shared" si="70"/>
        <v>0</v>
      </c>
      <c r="AK940" t="str">
        <f t="shared" si="71"/>
        <v>55+</v>
      </c>
      <c r="AL940" t="str">
        <f t="shared" si="72"/>
        <v>2-4 yrs (Mid)</v>
      </c>
      <c r="AM940" t="str">
        <f t="shared" si="73"/>
        <v>Low (&lt;3K)</v>
      </c>
      <c r="AN940" t="str">
        <f t="shared" si="74"/>
        <v>Normal</v>
      </c>
    </row>
    <row r="941" spans="1:40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 t="shared" si="70"/>
        <v>1</v>
      </c>
      <c r="AK941" t="str">
        <f t="shared" si="71"/>
        <v>25-34</v>
      </c>
      <c r="AL941" t="str">
        <f t="shared" si="72"/>
        <v>10+ yrs (Veteran)</v>
      </c>
      <c r="AM941" t="str">
        <f t="shared" si="73"/>
        <v>Mid (3K-7K)</v>
      </c>
      <c r="AN941" t="str">
        <f t="shared" si="74"/>
        <v>Normal</v>
      </c>
    </row>
    <row r="942" spans="1:40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 t="shared" si="70"/>
        <v>1</v>
      </c>
      <c r="AK942" t="str">
        <f t="shared" si="71"/>
        <v>35-44</v>
      </c>
      <c r="AL942" t="str">
        <f t="shared" si="72"/>
        <v>5-9 yrs (Senior)</v>
      </c>
      <c r="AM942" t="str">
        <f t="shared" si="73"/>
        <v>Mid (3K-7K)</v>
      </c>
      <c r="AN942" t="str">
        <f t="shared" si="74"/>
        <v>Normal</v>
      </c>
    </row>
    <row r="943" spans="1:40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 t="shared" si="70"/>
        <v>0</v>
      </c>
      <c r="AK943" t="str">
        <f t="shared" si="71"/>
        <v>25-34</v>
      </c>
      <c r="AL943" t="str">
        <f t="shared" si="72"/>
        <v>5-9 yrs (Senior)</v>
      </c>
      <c r="AM943" t="str">
        <f t="shared" si="73"/>
        <v>Mid (3K-7K)</v>
      </c>
      <c r="AN943" t="str">
        <f t="shared" si="74"/>
        <v>Normal</v>
      </c>
    </row>
    <row r="944" spans="1:40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 t="shared" si="70"/>
        <v>0</v>
      </c>
      <c r="AK944" t="str">
        <f t="shared" si="71"/>
        <v>35-44</v>
      </c>
      <c r="AL944" t="str">
        <f t="shared" si="72"/>
        <v>5-9 yrs (Senior)</v>
      </c>
      <c r="AM944" t="str">
        <f t="shared" si="73"/>
        <v>High (7K-12K)</v>
      </c>
      <c r="AN944" t="str">
        <f t="shared" si="74"/>
        <v>Normal</v>
      </c>
    </row>
    <row r="945" spans="1:40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 t="shared" si="70"/>
        <v>0</v>
      </c>
      <c r="AK945" t="str">
        <f t="shared" si="71"/>
        <v>45-54</v>
      </c>
      <c r="AL945" t="str">
        <f t="shared" si="72"/>
        <v>5-9 yrs (Senior)</v>
      </c>
      <c r="AM945" t="str">
        <f t="shared" si="73"/>
        <v>Mid (3K-7K)</v>
      </c>
      <c r="AN945" t="str">
        <f t="shared" si="74"/>
        <v>Normal</v>
      </c>
    </row>
    <row r="946" spans="1:40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 t="shared" si="70"/>
        <v>0</v>
      </c>
      <c r="AK946" t="str">
        <f t="shared" si="71"/>
        <v>25-34</v>
      </c>
      <c r="AL946" t="str">
        <f t="shared" si="72"/>
        <v>5-9 yrs (Senior)</v>
      </c>
      <c r="AM946" t="str">
        <f t="shared" si="73"/>
        <v>Mid (3K-7K)</v>
      </c>
      <c r="AN946" t="str">
        <f t="shared" si="74"/>
        <v>Normal</v>
      </c>
    </row>
    <row r="947" spans="1:40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 t="shared" si="70"/>
        <v>0</v>
      </c>
      <c r="AK947" t="str">
        <f t="shared" si="71"/>
        <v>45-54</v>
      </c>
      <c r="AL947" t="str">
        <f t="shared" si="72"/>
        <v>2-4 yrs (Mid)</v>
      </c>
      <c r="AM947" t="str">
        <f t="shared" si="73"/>
        <v>Very High (12K+)</v>
      </c>
      <c r="AN947" t="str">
        <f t="shared" si="74"/>
        <v>High Risk</v>
      </c>
    </row>
    <row r="948" spans="1:40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 t="shared" si="70"/>
        <v>1</v>
      </c>
      <c r="AK948" t="str">
        <f t="shared" si="71"/>
        <v>35-44</v>
      </c>
      <c r="AL948" t="str">
        <f t="shared" si="72"/>
        <v>5-9 yrs (Senior)</v>
      </c>
      <c r="AM948" t="str">
        <f t="shared" si="73"/>
        <v>High (7K-12K)</v>
      </c>
      <c r="AN948" t="str">
        <f t="shared" si="74"/>
        <v>High Risk</v>
      </c>
    </row>
    <row r="949" spans="1:40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 t="shared" si="70"/>
        <v>1</v>
      </c>
      <c r="AK949" t="str">
        <f t="shared" si="71"/>
        <v>45-54</v>
      </c>
      <c r="AL949" t="str">
        <f t="shared" si="72"/>
        <v>5-9 yrs (Senior)</v>
      </c>
      <c r="AM949" t="str">
        <f t="shared" si="73"/>
        <v>High (7K-12K)</v>
      </c>
      <c r="AN949" t="str">
        <f t="shared" si="74"/>
        <v>High Risk</v>
      </c>
    </row>
    <row r="950" spans="1:40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 t="shared" si="70"/>
        <v>0</v>
      </c>
      <c r="AK950" t="str">
        <f t="shared" si="71"/>
        <v>25-34</v>
      </c>
      <c r="AL950" t="str">
        <f t="shared" si="72"/>
        <v>5-9 yrs (Senior)</v>
      </c>
      <c r="AM950" t="str">
        <f t="shared" si="73"/>
        <v>High (7K-12K)</v>
      </c>
      <c r="AN950" t="str">
        <f t="shared" si="74"/>
        <v>High Risk</v>
      </c>
    </row>
    <row r="951" spans="1:40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 t="shared" si="70"/>
        <v>0</v>
      </c>
      <c r="AK951" t="str">
        <f t="shared" si="71"/>
        <v>35-44</v>
      </c>
      <c r="AL951" t="str">
        <f t="shared" si="72"/>
        <v>5-9 yrs (Senior)</v>
      </c>
      <c r="AM951" t="str">
        <f t="shared" si="73"/>
        <v>Mid (3K-7K)</v>
      </c>
      <c r="AN951" t="str">
        <f t="shared" si="74"/>
        <v>Normal</v>
      </c>
    </row>
    <row r="952" spans="1:40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 t="shared" si="70"/>
        <v>0</v>
      </c>
      <c r="AK952" t="str">
        <f t="shared" si="71"/>
        <v>25-34</v>
      </c>
      <c r="AL952" t="str">
        <f t="shared" si="72"/>
        <v>10+ yrs (Veteran)</v>
      </c>
      <c r="AM952" t="str">
        <f t="shared" si="73"/>
        <v>High (7K-12K)</v>
      </c>
      <c r="AN952" t="str">
        <f t="shared" si="74"/>
        <v>Normal</v>
      </c>
    </row>
    <row r="953" spans="1:40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 t="shared" si="70"/>
        <v>0</v>
      </c>
      <c r="AK953" t="str">
        <f t="shared" si="71"/>
        <v>35-44</v>
      </c>
      <c r="AL953" t="str">
        <f t="shared" si="72"/>
        <v>10+ yrs (Veteran)</v>
      </c>
      <c r="AM953" t="str">
        <f t="shared" si="73"/>
        <v>Mid (3K-7K)</v>
      </c>
      <c r="AN953" t="str">
        <f t="shared" si="74"/>
        <v>Normal</v>
      </c>
    </row>
    <row r="954" spans="1:40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 t="shared" si="70"/>
        <v>1</v>
      </c>
      <c r="AK954" t="str">
        <f t="shared" si="71"/>
        <v>25-34</v>
      </c>
      <c r="AL954" t="str">
        <f t="shared" si="72"/>
        <v>2-4 yrs (Mid)</v>
      </c>
      <c r="AM954" t="str">
        <f t="shared" si="73"/>
        <v>Low (&lt;3K)</v>
      </c>
      <c r="AN954" t="str">
        <f t="shared" si="74"/>
        <v>High Risk</v>
      </c>
    </row>
    <row r="955" spans="1:40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 t="shared" si="70"/>
        <v>1</v>
      </c>
      <c r="AK955" t="str">
        <f t="shared" si="71"/>
        <v>35-44</v>
      </c>
      <c r="AL955" t="str">
        <f t="shared" si="72"/>
        <v>2-4 yrs (Mid)</v>
      </c>
      <c r="AM955" t="str">
        <f t="shared" si="73"/>
        <v>Low (&lt;3K)</v>
      </c>
      <c r="AN955" t="str">
        <f t="shared" si="74"/>
        <v>Normal</v>
      </c>
    </row>
    <row r="956" spans="1:40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 t="shared" si="70"/>
        <v>0</v>
      </c>
      <c r="AK956" t="str">
        <f t="shared" si="71"/>
        <v>35-44</v>
      </c>
      <c r="AL956" t="str">
        <f t="shared" si="72"/>
        <v>10+ yrs (Veteran)</v>
      </c>
      <c r="AM956" t="str">
        <f t="shared" si="73"/>
        <v>Very High (12K+)</v>
      </c>
      <c r="AN956" t="str">
        <f t="shared" si="74"/>
        <v>Normal</v>
      </c>
    </row>
    <row r="957" spans="1:40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 t="shared" si="70"/>
        <v>0</v>
      </c>
      <c r="AK957" t="str">
        <f t="shared" si="71"/>
        <v>55+</v>
      </c>
      <c r="AL957" t="str">
        <f t="shared" si="72"/>
        <v>10+ yrs (Veteran)</v>
      </c>
      <c r="AM957" t="str">
        <f t="shared" si="73"/>
        <v>Very High (12K+)</v>
      </c>
      <c r="AN957" t="str">
        <f t="shared" si="74"/>
        <v>Normal</v>
      </c>
    </row>
    <row r="958" spans="1:40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 t="shared" si="70"/>
        <v>0</v>
      </c>
      <c r="AK958" t="str">
        <f t="shared" si="71"/>
        <v>55+</v>
      </c>
      <c r="AL958" t="str">
        <f t="shared" si="72"/>
        <v>5-9 yrs (Senior)</v>
      </c>
      <c r="AM958" t="str">
        <f t="shared" si="73"/>
        <v>Very High (12K+)</v>
      </c>
      <c r="AN958" t="str">
        <f t="shared" si="74"/>
        <v>Normal</v>
      </c>
    </row>
    <row r="959" spans="1:40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 t="shared" si="70"/>
        <v>0</v>
      </c>
      <c r="AK959" t="str">
        <f t="shared" si="71"/>
        <v>35-44</v>
      </c>
      <c r="AL959" t="str">
        <f t="shared" si="72"/>
        <v>2-4 yrs (Mid)</v>
      </c>
      <c r="AM959" t="str">
        <f t="shared" si="73"/>
        <v>Mid (3K-7K)</v>
      </c>
      <c r="AN959" t="str">
        <f t="shared" si="74"/>
        <v>Normal</v>
      </c>
    </row>
    <row r="960" spans="1:40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 t="shared" si="70"/>
        <v>0</v>
      </c>
      <c r="AK960" t="str">
        <f t="shared" si="71"/>
        <v>25-34</v>
      </c>
      <c r="AL960" t="str">
        <f t="shared" si="72"/>
        <v>5-9 yrs (Senior)</v>
      </c>
      <c r="AM960" t="str">
        <f t="shared" si="73"/>
        <v>High (7K-12K)</v>
      </c>
      <c r="AN960" t="str">
        <f t="shared" si="74"/>
        <v>Normal</v>
      </c>
    </row>
    <row r="961" spans="1:40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 t="shared" si="70"/>
        <v>0</v>
      </c>
      <c r="AK961" t="str">
        <f t="shared" si="71"/>
        <v>35-44</v>
      </c>
      <c r="AL961" t="str">
        <f t="shared" si="72"/>
        <v>5-9 yrs (Senior)</v>
      </c>
      <c r="AM961" t="str">
        <f t="shared" si="73"/>
        <v>Mid (3K-7K)</v>
      </c>
      <c r="AN961" t="str">
        <f t="shared" si="74"/>
        <v>Normal</v>
      </c>
    </row>
    <row r="962" spans="1:40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 t="shared" si="70"/>
        <v>0</v>
      </c>
      <c r="AK962" t="str">
        <f t="shared" si="71"/>
        <v>35-44</v>
      </c>
      <c r="AL962" t="str">
        <f t="shared" si="72"/>
        <v>5-9 yrs (Senior)</v>
      </c>
      <c r="AM962" t="str">
        <f t="shared" si="73"/>
        <v>Mid (3K-7K)</v>
      </c>
      <c r="AN962" t="str">
        <f t="shared" si="74"/>
        <v>Normal</v>
      </c>
    </row>
    <row r="963" spans="1:40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 t="shared" ref="AJ963:AJ1026" si="75">IF(B963="Yes", 1, 0)</f>
        <v>0</v>
      </c>
      <c r="AK963" t="str">
        <f t="shared" ref="AK963:AK1026" si="76">IF(A963&lt;25, "Under 25", IF(A963&lt;35, "25-34", IF(A963&lt;45, "35-44", IF(A963&lt;55, "45-54", "55+"))))</f>
        <v>35-44</v>
      </c>
      <c r="AL963" t="str">
        <f t="shared" ref="AL963:AL1026" si="77">IF(AF963&lt;2, "0-1 yrs (New)", IF(AF963&lt;5, "2-4 yrs (Mid)", IF(AF963&lt;10, "5-9 yrs (Senior)", "10+ yrs (Veteran)")))</f>
        <v>5-9 yrs (Senior)</v>
      </c>
      <c r="AM963" t="str">
        <f t="shared" ref="AM963:AM1026" si="78">IF(S963&lt;3000, "Low (&lt;3K)", IF(S963&lt;7000, "Mid (3K-7K)", IF(S963&lt;12000, "High (7K-12K)", "Very High (12K+)")))</f>
        <v>Mid (3K-7K)</v>
      </c>
      <c r="AN963" t="str">
        <f t="shared" ref="AN963:AN1026" si="79">IF(AND(W963="Yes", Q963&lt;=2), "High Risk", "Normal")</f>
        <v>Normal</v>
      </c>
    </row>
    <row r="964" spans="1:40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 t="shared" si="75"/>
        <v>0</v>
      </c>
      <c r="AK964" t="str">
        <f t="shared" si="76"/>
        <v>45-54</v>
      </c>
      <c r="AL964" t="str">
        <f t="shared" si="77"/>
        <v>10+ yrs (Veteran)</v>
      </c>
      <c r="AM964" t="str">
        <f t="shared" si="78"/>
        <v>Very High (12K+)</v>
      </c>
      <c r="AN964" t="str">
        <f t="shared" si="79"/>
        <v>High Risk</v>
      </c>
    </row>
    <row r="965" spans="1:40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 t="shared" si="75"/>
        <v>0</v>
      </c>
      <c r="AK965" t="str">
        <f t="shared" si="76"/>
        <v>35-44</v>
      </c>
      <c r="AL965" t="str">
        <f t="shared" si="77"/>
        <v>5-9 yrs (Senior)</v>
      </c>
      <c r="AM965" t="str">
        <f t="shared" si="78"/>
        <v>Mid (3K-7K)</v>
      </c>
      <c r="AN965" t="str">
        <f t="shared" si="79"/>
        <v>Normal</v>
      </c>
    </row>
    <row r="966" spans="1:40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 t="shared" si="75"/>
        <v>0</v>
      </c>
      <c r="AK966" t="str">
        <f t="shared" si="76"/>
        <v>25-34</v>
      </c>
      <c r="AL966" t="str">
        <f t="shared" si="77"/>
        <v>10+ yrs (Veteran)</v>
      </c>
      <c r="AM966" t="str">
        <f t="shared" si="78"/>
        <v>Mid (3K-7K)</v>
      </c>
      <c r="AN966" t="str">
        <f t="shared" si="79"/>
        <v>Normal</v>
      </c>
    </row>
    <row r="967" spans="1:40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 t="shared" si="75"/>
        <v>0</v>
      </c>
      <c r="AK967" t="str">
        <f t="shared" si="76"/>
        <v>25-34</v>
      </c>
      <c r="AL967" t="str">
        <f t="shared" si="77"/>
        <v>2-4 yrs (Mid)</v>
      </c>
      <c r="AM967" t="str">
        <f t="shared" si="78"/>
        <v>Mid (3K-7K)</v>
      </c>
      <c r="AN967" t="str">
        <f t="shared" si="79"/>
        <v>Normal</v>
      </c>
    </row>
    <row r="968" spans="1:40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 t="shared" si="75"/>
        <v>1</v>
      </c>
      <c r="AK968" t="str">
        <f t="shared" si="76"/>
        <v>55+</v>
      </c>
      <c r="AL968" t="str">
        <f t="shared" si="77"/>
        <v>10+ yrs (Veteran)</v>
      </c>
      <c r="AM968" t="str">
        <f t="shared" si="78"/>
        <v>High (7K-12K)</v>
      </c>
      <c r="AN968" t="str">
        <f t="shared" si="79"/>
        <v>High Risk</v>
      </c>
    </row>
    <row r="969" spans="1:40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 t="shared" si="75"/>
        <v>0</v>
      </c>
      <c r="AK969" t="str">
        <f t="shared" si="76"/>
        <v>35-44</v>
      </c>
      <c r="AL969" t="str">
        <f t="shared" si="77"/>
        <v>2-4 yrs (Mid)</v>
      </c>
      <c r="AM969" t="str">
        <f t="shared" si="78"/>
        <v>Low (&lt;3K)</v>
      </c>
      <c r="AN969" t="str">
        <f t="shared" si="79"/>
        <v>Normal</v>
      </c>
    </row>
    <row r="970" spans="1:40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 t="shared" si="75"/>
        <v>0</v>
      </c>
      <c r="AK970" t="str">
        <f t="shared" si="76"/>
        <v>35-44</v>
      </c>
      <c r="AL970" t="str">
        <f t="shared" si="77"/>
        <v>10+ yrs (Veteran)</v>
      </c>
      <c r="AM970" t="str">
        <f t="shared" si="78"/>
        <v>Mid (3K-7K)</v>
      </c>
      <c r="AN970" t="str">
        <f t="shared" si="79"/>
        <v>Normal</v>
      </c>
    </row>
    <row r="971" spans="1:40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 t="shared" si="75"/>
        <v>0</v>
      </c>
      <c r="AK971" t="str">
        <f t="shared" si="76"/>
        <v>45-54</v>
      </c>
      <c r="AL971" t="str">
        <f t="shared" si="77"/>
        <v>10+ yrs (Veteran)</v>
      </c>
      <c r="AM971" t="str">
        <f t="shared" si="78"/>
        <v>High (7K-12K)</v>
      </c>
      <c r="AN971" t="str">
        <f t="shared" si="79"/>
        <v>Normal</v>
      </c>
    </row>
    <row r="972" spans="1:40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 t="shared" si="75"/>
        <v>0</v>
      </c>
      <c r="AK972" t="str">
        <f t="shared" si="76"/>
        <v>25-34</v>
      </c>
      <c r="AL972" t="str">
        <f t="shared" si="77"/>
        <v>0-1 yrs (New)</v>
      </c>
      <c r="AM972" t="str">
        <f t="shared" si="78"/>
        <v>Low (&lt;3K)</v>
      </c>
      <c r="AN972" t="str">
        <f t="shared" si="79"/>
        <v>Normal</v>
      </c>
    </row>
    <row r="973" spans="1:40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 t="shared" si="75"/>
        <v>0</v>
      </c>
      <c r="AK973" t="str">
        <f t="shared" si="76"/>
        <v>45-54</v>
      </c>
      <c r="AL973" t="str">
        <f t="shared" si="77"/>
        <v>5-9 yrs (Senior)</v>
      </c>
      <c r="AM973" t="str">
        <f t="shared" si="78"/>
        <v>Very High (12K+)</v>
      </c>
      <c r="AN973" t="str">
        <f t="shared" si="79"/>
        <v>Normal</v>
      </c>
    </row>
    <row r="974" spans="1:40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 t="shared" si="75"/>
        <v>0</v>
      </c>
      <c r="AK974" t="str">
        <f t="shared" si="76"/>
        <v>Under 25</v>
      </c>
      <c r="AL974" t="str">
        <f t="shared" si="77"/>
        <v>0-1 yrs (New)</v>
      </c>
      <c r="AM974" t="str">
        <f t="shared" si="78"/>
        <v>Low (&lt;3K)</v>
      </c>
      <c r="AN974" t="str">
        <f t="shared" si="79"/>
        <v>Normal</v>
      </c>
    </row>
    <row r="975" spans="1:40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 t="shared" si="75"/>
        <v>0</v>
      </c>
      <c r="AK975" t="str">
        <f t="shared" si="76"/>
        <v>35-44</v>
      </c>
      <c r="AL975" t="str">
        <f t="shared" si="77"/>
        <v>5-9 yrs (Senior)</v>
      </c>
      <c r="AM975" t="str">
        <f t="shared" si="78"/>
        <v>Mid (3K-7K)</v>
      </c>
      <c r="AN975" t="str">
        <f t="shared" si="79"/>
        <v>Normal</v>
      </c>
    </row>
    <row r="976" spans="1:40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 t="shared" si="75"/>
        <v>0</v>
      </c>
      <c r="AK976" t="str">
        <f t="shared" si="76"/>
        <v>25-34</v>
      </c>
      <c r="AL976" t="str">
        <f t="shared" si="77"/>
        <v>5-9 yrs (Senior)</v>
      </c>
      <c r="AM976" t="str">
        <f t="shared" si="78"/>
        <v>Mid (3K-7K)</v>
      </c>
      <c r="AN976" t="str">
        <f t="shared" si="79"/>
        <v>Normal</v>
      </c>
    </row>
    <row r="977" spans="1:40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 t="shared" si="75"/>
        <v>1</v>
      </c>
      <c r="AK977" t="str">
        <f t="shared" si="76"/>
        <v>55+</v>
      </c>
      <c r="AL977" t="str">
        <f t="shared" si="77"/>
        <v>10+ yrs (Veteran)</v>
      </c>
      <c r="AM977" t="str">
        <f t="shared" si="78"/>
        <v>Very High (12K+)</v>
      </c>
      <c r="AN977" t="str">
        <f t="shared" si="79"/>
        <v>Normal</v>
      </c>
    </row>
    <row r="978" spans="1:40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 t="shared" si="75"/>
        <v>0</v>
      </c>
      <c r="AK978" t="str">
        <f t="shared" si="76"/>
        <v>55+</v>
      </c>
      <c r="AL978" t="str">
        <f t="shared" si="77"/>
        <v>10+ yrs (Veteran)</v>
      </c>
      <c r="AM978" t="str">
        <f t="shared" si="78"/>
        <v>Very High (12K+)</v>
      </c>
      <c r="AN978" t="str">
        <f t="shared" si="79"/>
        <v>High Risk</v>
      </c>
    </row>
    <row r="979" spans="1:40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 t="shared" si="75"/>
        <v>0</v>
      </c>
      <c r="AK979" t="str">
        <f t="shared" si="76"/>
        <v>25-34</v>
      </c>
      <c r="AL979" t="str">
        <f t="shared" si="77"/>
        <v>5-9 yrs (Senior)</v>
      </c>
      <c r="AM979" t="str">
        <f t="shared" si="78"/>
        <v>Low (&lt;3K)</v>
      </c>
      <c r="AN979" t="str">
        <f t="shared" si="79"/>
        <v>Normal</v>
      </c>
    </row>
    <row r="980" spans="1:40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 t="shared" si="75"/>
        <v>0</v>
      </c>
      <c r="AK980" t="str">
        <f t="shared" si="76"/>
        <v>35-44</v>
      </c>
      <c r="AL980" t="str">
        <f t="shared" si="77"/>
        <v>10+ yrs (Veteran)</v>
      </c>
      <c r="AM980" t="str">
        <f t="shared" si="78"/>
        <v>Mid (3K-7K)</v>
      </c>
      <c r="AN980" t="str">
        <f t="shared" si="79"/>
        <v>Normal</v>
      </c>
    </row>
    <row r="981" spans="1:40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 t="shared" si="75"/>
        <v>0</v>
      </c>
      <c r="AK981" t="str">
        <f t="shared" si="76"/>
        <v>25-34</v>
      </c>
      <c r="AL981" t="str">
        <f t="shared" si="77"/>
        <v>5-9 yrs (Senior)</v>
      </c>
      <c r="AM981" t="str">
        <f t="shared" si="78"/>
        <v>Mid (3K-7K)</v>
      </c>
      <c r="AN981" t="str">
        <f t="shared" si="79"/>
        <v>Normal</v>
      </c>
    </row>
    <row r="982" spans="1:40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 t="shared" si="75"/>
        <v>1</v>
      </c>
      <c r="AK982" t="str">
        <f t="shared" si="76"/>
        <v>25-34</v>
      </c>
      <c r="AL982" t="str">
        <f t="shared" si="77"/>
        <v>0-1 yrs (New)</v>
      </c>
      <c r="AM982" t="str">
        <f t="shared" si="78"/>
        <v>Low (&lt;3K)</v>
      </c>
      <c r="AN982" t="str">
        <f t="shared" si="79"/>
        <v>Normal</v>
      </c>
    </row>
    <row r="983" spans="1:40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 t="shared" si="75"/>
        <v>1</v>
      </c>
      <c r="AK983" t="str">
        <f t="shared" si="76"/>
        <v>35-44</v>
      </c>
      <c r="AL983" t="str">
        <f t="shared" si="77"/>
        <v>2-4 yrs (Mid)</v>
      </c>
      <c r="AM983" t="str">
        <f t="shared" si="78"/>
        <v>Mid (3K-7K)</v>
      </c>
      <c r="AN983" t="str">
        <f t="shared" si="79"/>
        <v>Normal</v>
      </c>
    </row>
    <row r="984" spans="1:40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 t="shared" si="75"/>
        <v>0</v>
      </c>
      <c r="AK984" t="str">
        <f t="shared" si="76"/>
        <v>35-44</v>
      </c>
      <c r="AL984" t="str">
        <f t="shared" si="77"/>
        <v>2-4 yrs (Mid)</v>
      </c>
      <c r="AM984" t="str">
        <f t="shared" si="78"/>
        <v>Low (&lt;3K)</v>
      </c>
      <c r="AN984" t="str">
        <f t="shared" si="79"/>
        <v>Normal</v>
      </c>
    </row>
    <row r="985" spans="1:40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 t="shared" si="75"/>
        <v>0</v>
      </c>
      <c r="AK985" t="str">
        <f t="shared" si="76"/>
        <v>25-34</v>
      </c>
      <c r="AL985" t="str">
        <f t="shared" si="77"/>
        <v>10+ yrs (Veteran)</v>
      </c>
      <c r="AM985" t="str">
        <f t="shared" si="78"/>
        <v>Mid (3K-7K)</v>
      </c>
      <c r="AN985" t="str">
        <f t="shared" si="79"/>
        <v>Normal</v>
      </c>
    </row>
    <row r="986" spans="1:40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 t="shared" si="75"/>
        <v>0</v>
      </c>
      <c r="AK986" t="str">
        <f t="shared" si="76"/>
        <v>25-34</v>
      </c>
      <c r="AL986" t="str">
        <f t="shared" si="77"/>
        <v>5-9 yrs (Senior)</v>
      </c>
      <c r="AM986" t="str">
        <f t="shared" si="78"/>
        <v>Mid (3K-7K)</v>
      </c>
      <c r="AN986" t="str">
        <f t="shared" si="79"/>
        <v>Normal</v>
      </c>
    </row>
    <row r="987" spans="1:40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 t="shared" si="75"/>
        <v>1</v>
      </c>
      <c r="AK987" t="str">
        <f t="shared" si="76"/>
        <v>25-34</v>
      </c>
      <c r="AL987" t="str">
        <f t="shared" si="77"/>
        <v>10+ yrs (Veteran)</v>
      </c>
      <c r="AM987" t="str">
        <f t="shared" si="78"/>
        <v>Mid (3K-7K)</v>
      </c>
      <c r="AN987" t="str">
        <f t="shared" si="79"/>
        <v>Normal</v>
      </c>
    </row>
    <row r="988" spans="1:40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 t="shared" si="75"/>
        <v>0</v>
      </c>
      <c r="AK988" t="str">
        <f t="shared" si="76"/>
        <v>35-44</v>
      </c>
      <c r="AL988" t="str">
        <f t="shared" si="77"/>
        <v>5-9 yrs (Senior)</v>
      </c>
      <c r="AM988" t="str">
        <f t="shared" si="78"/>
        <v>Mid (3K-7K)</v>
      </c>
      <c r="AN988" t="str">
        <f t="shared" si="79"/>
        <v>Normal</v>
      </c>
    </row>
    <row r="989" spans="1:40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 t="shared" si="75"/>
        <v>0</v>
      </c>
      <c r="AK989" t="str">
        <f t="shared" si="76"/>
        <v>45-54</v>
      </c>
      <c r="AL989" t="str">
        <f t="shared" si="77"/>
        <v>2-4 yrs (Mid)</v>
      </c>
      <c r="AM989" t="str">
        <f t="shared" si="78"/>
        <v>High (7K-12K)</v>
      </c>
      <c r="AN989" t="str">
        <f t="shared" si="79"/>
        <v>Normal</v>
      </c>
    </row>
    <row r="990" spans="1:40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 t="shared" si="75"/>
        <v>0</v>
      </c>
      <c r="AK990" t="str">
        <f t="shared" si="76"/>
        <v>35-44</v>
      </c>
      <c r="AL990" t="str">
        <f t="shared" si="77"/>
        <v>5-9 yrs (Senior)</v>
      </c>
      <c r="AM990" t="str">
        <f t="shared" si="78"/>
        <v>Mid (3K-7K)</v>
      </c>
      <c r="AN990" t="str">
        <f t="shared" si="79"/>
        <v>Normal</v>
      </c>
    </row>
    <row r="991" spans="1:40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 t="shared" si="75"/>
        <v>0</v>
      </c>
      <c r="AK991" t="str">
        <f t="shared" si="76"/>
        <v>35-44</v>
      </c>
      <c r="AL991" t="str">
        <f t="shared" si="77"/>
        <v>5-9 yrs (Senior)</v>
      </c>
      <c r="AM991" t="str">
        <f t="shared" si="78"/>
        <v>Low (&lt;3K)</v>
      </c>
      <c r="AN991" t="str">
        <f t="shared" si="79"/>
        <v>Normal</v>
      </c>
    </row>
    <row r="992" spans="1:40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 t="shared" si="75"/>
        <v>0</v>
      </c>
      <c r="AK992" t="str">
        <f t="shared" si="76"/>
        <v>25-34</v>
      </c>
      <c r="AL992" t="str">
        <f t="shared" si="77"/>
        <v>5-9 yrs (Senior)</v>
      </c>
      <c r="AM992" t="str">
        <f t="shared" si="78"/>
        <v>High (7K-12K)</v>
      </c>
      <c r="AN992" t="str">
        <f t="shared" si="79"/>
        <v>Normal</v>
      </c>
    </row>
    <row r="993" spans="1:40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 t="shared" si="75"/>
        <v>0</v>
      </c>
      <c r="AK993" t="str">
        <f t="shared" si="76"/>
        <v>25-34</v>
      </c>
      <c r="AL993" t="str">
        <f t="shared" si="77"/>
        <v>2-4 yrs (Mid)</v>
      </c>
      <c r="AM993" t="str">
        <f t="shared" si="78"/>
        <v>Mid (3K-7K)</v>
      </c>
      <c r="AN993" t="str">
        <f t="shared" si="79"/>
        <v>High Risk</v>
      </c>
    </row>
    <row r="994" spans="1:40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 t="shared" si="75"/>
        <v>0</v>
      </c>
      <c r="AK994" t="str">
        <f t="shared" si="76"/>
        <v>35-44</v>
      </c>
      <c r="AL994" t="str">
        <f t="shared" si="77"/>
        <v>5-9 yrs (Senior)</v>
      </c>
      <c r="AM994" t="str">
        <f t="shared" si="78"/>
        <v>High (7K-12K)</v>
      </c>
      <c r="AN994" t="str">
        <f t="shared" si="79"/>
        <v>Normal</v>
      </c>
    </row>
    <row r="995" spans="1:40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 t="shared" si="75"/>
        <v>0</v>
      </c>
      <c r="AK995" t="str">
        <f t="shared" si="76"/>
        <v>25-34</v>
      </c>
      <c r="AL995" t="str">
        <f t="shared" si="77"/>
        <v>2-4 yrs (Mid)</v>
      </c>
      <c r="AM995" t="str">
        <f t="shared" si="78"/>
        <v>Mid (3K-7K)</v>
      </c>
      <c r="AN995" t="str">
        <f t="shared" si="79"/>
        <v>Normal</v>
      </c>
    </row>
    <row r="996" spans="1:40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 t="shared" si="75"/>
        <v>0</v>
      </c>
      <c r="AK996" t="str">
        <f t="shared" si="76"/>
        <v>45-54</v>
      </c>
      <c r="AL996" t="str">
        <f t="shared" si="77"/>
        <v>5-9 yrs (Senior)</v>
      </c>
      <c r="AM996" t="str">
        <f t="shared" si="78"/>
        <v>Very High (12K+)</v>
      </c>
      <c r="AN996" t="str">
        <f t="shared" si="79"/>
        <v>Normal</v>
      </c>
    </row>
    <row r="997" spans="1:40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 t="shared" si="75"/>
        <v>0</v>
      </c>
      <c r="AK997" t="str">
        <f t="shared" si="76"/>
        <v>35-44</v>
      </c>
      <c r="AL997" t="str">
        <f t="shared" si="77"/>
        <v>10+ yrs (Veteran)</v>
      </c>
      <c r="AM997" t="str">
        <f t="shared" si="78"/>
        <v>Mid (3K-7K)</v>
      </c>
      <c r="AN997" t="str">
        <f t="shared" si="79"/>
        <v>Normal</v>
      </c>
    </row>
    <row r="998" spans="1:40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 t="shared" si="75"/>
        <v>0</v>
      </c>
      <c r="AK998" t="str">
        <f t="shared" si="76"/>
        <v>25-34</v>
      </c>
      <c r="AL998" t="str">
        <f t="shared" si="77"/>
        <v>5-9 yrs (Senior)</v>
      </c>
      <c r="AM998" t="str">
        <f t="shared" si="78"/>
        <v>Mid (3K-7K)</v>
      </c>
      <c r="AN998" t="str">
        <f t="shared" si="79"/>
        <v>Normal</v>
      </c>
    </row>
    <row r="999" spans="1:40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 t="shared" si="75"/>
        <v>1</v>
      </c>
      <c r="AK999" t="str">
        <f t="shared" si="76"/>
        <v>25-34</v>
      </c>
      <c r="AL999" t="str">
        <f t="shared" si="77"/>
        <v>5-9 yrs (Senior)</v>
      </c>
      <c r="AM999" t="str">
        <f t="shared" si="78"/>
        <v>Low (&lt;3K)</v>
      </c>
      <c r="AN999" t="str">
        <f t="shared" si="79"/>
        <v>Normal</v>
      </c>
    </row>
    <row r="1000" spans="1:40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 t="shared" si="75"/>
        <v>0</v>
      </c>
      <c r="AK1000" t="str">
        <f t="shared" si="76"/>
        <v>25-34</v>
      </c>
      <c r="AL1000" t="str">
        <f t="shared" si="77"/>
        <v>2-4 yrs (Mid)</v>
      </c>
      <c r="AM1000" t="str">
        <f t="shared" si="78"/>
        <v>Mid (3K-7K)</v>
      </c>
      <c r="AN1000" t="str">
        <f t="shared" si="79"/>
        <v>Normal</v>
      </c>
    </row>
    <row r="1001" spans="1:40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 t="shared" si="75"/>
        <v>0</v>
      </c>
      <c r="AK1001" t="str">
        <f t="shared" si="76"/>
        <v>35-44</v>
      </c>
      <c r="AL1001" t="str">
        <f t="shared" si="77"/>
        <v>10+ yrs (Veteran)</v>
      </c>
      <c r="AM1001" t="str">
        <f t="shared" si="78"/>
        <v>Very High (12K+)</v>
      </c>
      <c r="AN1001" t="str">
        <f t="shared" si="79"/>
        <v>Normal</v>
      </c>
    </row>
    <row r="1002" spans="1:40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 t="shared" si="75"/>
        <v>0</v>
      </c>
      <c r="AK1002" t="str">
        <f t="shared" si="76"/>
        <v>45-54</v>
      </c>
      <c r="AL1002" t="str">
        <f t="shared" si="77"/>
        <v>5-9 yrs (Senior)</v>
      </c>
      <c r="AM1002" t="str">
        <f t="shared" si="78"/>
        <v>Low (&lt;3K)</v>
      </c>
      <c r="AN1002" t="str">
        <f t="shared" si="79"/>
        <v>Normal</v>
      </c>
    </row>
    <row r="1003" spans="1:40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 t="shared" si="75"/>
        <v>0</v>
      </c>
      <c r="AK1003" t="str">
        <f t="shared" si="76"/>
        <v>35-44</v>
      </c>
      <c r="AL1003" t="str">
        <f t="shared" si="77"/>
        <v>2-4 yrs (Mid)</v>
      </c>
      <c r="AM1003" t="str">
        <f t="shared" si="78"/>
        <v>Mid (3K-7K)</v>
      </c>
      <c r="AN1003" t="str">
        <f t="shared" si="79"/>
        <v>Normal</v>
      </c>
    </row>
    <row r="1004" spans="1:40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 t="shared" si="75"/>
        <v>0</v>
      </c>
      <c r="AK1004" t="str">
        <f t="shared" si="76"/>
        <v>35-44</v>
      </c>
      <c r="AL1004" t="str">
        <f t="shared" si="77"/>
        <v>2-4 yrs (Mid)</v>
      </c>
      <c r="AM1004" t="str">
        <f t="shared" si="78"/>
        <v>High (7K-12K)</v>
      </c>
      <c r="AN1004" t="str">
        <f t="shared" si="79"/>
        <v>Normal</v>
      </c>
    </row>
    <row r="1005" spans="1:40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 t="shared" si="75"/>
        <v>0</v>
      </c>
      <c r="AK1005" t="str">
        <f t="shared" si="76"/>
        <v>25-34</v>
      </c>
      <c r="AL1005" t="str">
        <f t="shared" si="77"/>
        <v>2-4 yrs (Mid)</v>
      </c>
      <c r="AM1005" t="str">
        <f t="shared" si="78"/>
        <v>Mid (3K-7K)</v>
      </c>
      <c r="AN1005" t="str">
        <f t="shared" si="79"/>
        <v>Normal</v>
      </c>
    </row>
    <row r="1006" spans="1:40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 t="shared" si="75"/>
        <v>0</v>
      </c>
      <c r="AK1006" t="str">
        <f t="shared" si="76"/>
        <v>25-34</v>
      </c>
      <c r="AL1006" t="str">
        <f t="shared" si="77"/>
        <v>5-9 yrs (Senior)</v>
      </c>
      <c r="AM1006" t="str">
        <f t="shared" si="78"/>
        <v>Mid (3K-7K)</v>
      </c>
      <c r="AN1006" t="str">
        <f t="shared" si="79"/>
        <v>Normal</v>
      </c>
    </row>
    <row r="1007" spans="1:40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 t="shared" si="75"/>
        <v>0</v>
      </c>
      <c r="AK1007" t="str">
        <f t="shared" si="76"/>
        <v>25-34</v>
      </c>
      <c r="AL1007" t="str">
        <f t="shared" si="77"/>
        <v>10+ yrs (Veteran)</v>
      </c>
      <c r="AM1007" t="str">
        <f t="shared" si="78"/>
        <v>High (7K-12K)</v>
      </c>
      <c r="AN1007" t="str">
        <f t="shared" si="79"/>
        <v>Normal</v>
      </c>
    </row>
    <row r="1008" spans="1:40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 t="shared" si="75"/>
        <v>1</v>
      </c>
      <c r="AK1008" t="str">
        <f t="shared" si="76"/>
        <v>45-54</v>
      </c>
      <c r="AL1008" t="str">
        <f t="shared" si="77"/>
        <v>2-4 yrs (Mid)</v>
      </c>
      <c r="AM1008" t="str">
        <f t="shared" si="78"/>
        <v>Mid (3K-7K)</v>
      </c>
      <c r="AN1008" t="str">
        <f t="shared" si="79"/>
        <v>Normal</v>
      </c>
    </row>
    <row r="1009" spans="1:40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 t="shared" si="75"/>
        <v>1</v>
      </c>
      <c r="AK1009" t="str">
        <f t="shared" si="76"/>
        <v>25-34</v>
      </c>
      <c r="AL1009" t="str">
        <f t="shared" si="77"/>
        <v>5-9 yrs (Senior)</v>
      </c>
      <c r="AM1009" t="str">
        <f t="shared" si="78"/>
        <v>High (7K-12K)</v>
      </c>
      <c r="AN1009" t="str">
        <f t="shared" si="79"/>
        <v>Normal</v>
      </c>
    </row>
    <row r="1010" spans="1:40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 t="shared" si="75"/>
        <v>0</v>
      </c>
      <c r="AK1010" t="str">
        <f t="shared" si="76"/>
        <v>45-54</v>
      </c>
      <c r="AL1010" t="str">
        <f t="shared" si="77"/>
        <v>10+ yrs (Veteran)</v>
      </c>
      <c r="AM1010" t="str">
        <f t="shared" si="78"/>
        <v>Very High (12K+)</v>
      </c>
      <c r="AN1010" t="str">
        <f t="shared" si="79"/>
        <v>Normal</v>
      </c>
    </row>
    <row r="1011" spans="1:40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 t="shared" si="75"/>
        <v>0</v>
      </c>
      <c r="AK1011" t="str">
        <f t="shared" si="76"/>
        <v>55+</v>
      </c>
      <c r="AL1011" t="str">
        <f t="shared" si="77"/>
        <v>5-9 yrs (Senior)</v>
      </c>
      <c r="AM1011" t="str">
        <f t="shared" si="78"/>
        <v>Very High (12K+)</v>
      </c>
      <c r="AN1011" t="str">
        <f t="shared" si="79"/>
        <v>High Risk</v>
      </c>
    </row>
    <row r="1012" spans="1:40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 t="shared" si="75"/>
        <v>0</v>
      </c>
      <c r="AK1012" t="str">
        <f t="shared" si="76"/>
        <v>55+</v>
      </c>
      <c r="AL1012" t="str">
        <f t="shared" si="77"/>
        <v>5-9 yrs (Senior)</v>
      </c>
      <c r="AM1012" t="str">
        <f t="shared" si="78"/>
        <v>Very High (12K+)</v>
      </c>
      <c r="AN1012" t="str">
        <f t="shared" si="79"/>
        <v>Normal</v>
      </c>
    </row>
    <row r="1013" spans="1:40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 t="shared" si="75"/>
        <v>0</v>
      </c>
      <c r="AK1013" t="str">
        <f t="shared" si="76"/>
        <v>35-44</v>
      </c>
      <c r="AL1013" t="str">
        <f t="shared" si="77"/>
        <v>5-9 yrs (Senior)</v>
      </c>
      <c r="AM1013" t="str">
        <f t="shared" si="78"/>
        <v>High (7K-12K)</v>
      </c>
      <c r="AN1013" t="str">
        <f t="shared" si="79"/>
        <v>High Risk</v>
      </c>
    </row>
    <row r="1014" spans="1:40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 t="shared" si="75"/>
        <v>1</v>
      </c>
      <c r="AK1014" t="str">
        <f t="shared" si="76"/>
        <v>25-34</v>
      </c>
      <c r="AL1014" t="str">
        <f t="shared" si="77"/>
        <v>0-1 yrs (New)</v>
      </c>
      <c r="AM1014" t="str">
        <f t="shared" si="78"/>
        <v>Low (&lt;3K)</v>
      </c>
      <c r="AN1014" t="str">
        <f t="shared" si="79"/>
        <v>Normal</v>
      </c>
    </row>
    <row r="1015" spans="1:40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 t="shared" si="75"/>
        <v>0</v>
      </c>
      <c r="AK1015" t="str">
        <f t="shared" si="76"/>
        <v>25-34</v>
      </c>
      <c r="AL1015" t="str">
        <f t="shared" si="77"/>
        <v>2-4 yrs (Mid)</v>
      </c>
      <c r="AM1015" t="str">
        <f t="shared" si="78"/>
        <v>Mid (3K-7K)</v>
      </c>
      <c r="AN1015" t="str">
        <f t="shared" si="79"/>
        <v>Normal</v>
      </c>
    </row>
    <row r="1016" spans="1:40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 t="shared" si="75"/>
        <v>0</v>
      </c>
      <c r="AK1016" t="str">
        <f t="shared" si="76"/>
        <v>25-34</v>
      </c>
      <c r="AL1016" t="str">
        <f t="shared" si="77"/>
        <v>2-4 yrs (Mid)</v>
      </c>
      <c r="AM1016" t="str">
        <f t="shared" si="78"/>
        <v>Very High (12K+)</v>
      </c>
      <c r="AN1016" t="str">
        <f t="shared" si="79"/>
        <v>Normal</v>
      </c>
    </row>
    <row r="1017" spans="1:40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 t="shared" si="75"/>
        <v>0</v>
      </c>
      <c r="AK1017" t="str">
        <f t="shared" si="76"/>
        <v>25-34</v>
      </c>
      <c r="AL1017" t="str">
        <f t="shared" si="77"/>
        <v>2-4 yrs (Mid)</v>
      </c>
      <c r="AM1017" t="str">
        <f t="shared" si="78"/>
        <v>Low (&lt;3K)</v>
      </c>
      <c r="AN1017" t="str">
        <f t="shared" si="79"/>
        <v>Normal</v>
      </c>
    </row>
    <row r="1018" spans="1:40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 t="shared" si="75"/>
        <v>1</v>
      </c>
      <c r="AK1018" t="str">
        <f t="shared" si="76"/>
        <v>25-34</v>
      </c>
      <c r="AL1018" t="str">
        <f t="shared" si="77"/>
        <v>0-1 yrs (New)</v>
      </c>
      <c r="AM1018" t="str">
        <f t="shared" si="78"/>
        <v>Low (&lt;3K)</v>
      </c>
      <c r="AN1018" t="str">
        <f t="shared" si="79"/>
        <v>Normal</v>
      </c>
    </row>
    <row r="1019" spans="1:40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 t="shared" si="75"/>
        <v>0</v>
      </c>
      <c r="AK1019" t="str">
        <f t="shared" si="76"/>
        <v>25-34</v>
      </c>
      <c r="AL1019" t="str">
        <f t="shared" si="77"/>
        <v>5-9 yrs (Senior)</v>
      </c>
      <c r="AM1019" t="str">
        <f t="shared" si="78"/>
        <v>Low (&lt;3K)</v>
      </c>
      <c r="AN1019" t="str">
        <f t="shared" si="79"/>
        <v>Normal</v>
      </c>
    </row>
    <row r="1020" spans="1:40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 t="shared" si="75"/>
        <v>0</v>
      </c>
      <c r="AK1020" t="str">
        <f t="shared" si="76"/>
        <v>35-44</v>
      </c>
      <c r="AL1020" t="str">
        <f t="shared" si="77"/>
        <v>10+ yrs (Veteran)</v>
      </c>
      <c r="AM1020" t="str">
        <f t="shared" si="78"/>
        <v>Mid (3K-7K)</v>
      </c>
      <c r="AN1020" t="str">
        <f t="shared" si="79"/>
        <v>Normal</v>
      </c>
    </row>
    <row r="1021" spans="1:40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 t="shared" si="75"/>
        <v>0</v>
      </c>
      <c r="AK1021" t="str">
        <f t="shared" si="76"/>
        <v>35-44</v>
      </c>
      <c r="AL1021" t="str">
        <f t="shared" si="77"/>
        <v>2-4 yrs (Mid)</v>
      </c>
      <c r="AM1021" t="str">
        <f t="shared" si="78"/>
        <v>Mid (3K-7K)</v>
      </c>
      <c r="AN1021" t="str">
        <f t="shared" si="79"/>
        <v>Normal</v>
      </c>
    </row>
    <row r="1022" spans="1:40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 t="shared" si="75"/>
        <v>0</v>
      </c>
      <c r="AK1022" t="str">
        <f t="shared" si="76"/>
        <v>45-54</v>
      </c>
      <c r="AL1022" t="str">
        <f t="shared" si="77"/>
        <v>5-9 yrs (Senior)</v>
      </c>
      <c r="AM1022" t="str">
        <f t="shared" si="78"/>
        <v>Mid (3K-7K)</v>
      </c>
      <c r="AN1022" t="str">
        <f t="shared" si="79"/>
        <v>Normal</v>
      </c>
    </row>
    <row r="1023" spans="1:40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 t="shared" si="75"/>
        <v>1</v>
      </c>
      <c r="AK1023" t="str">
        <f t="shared" si="76"/>
        <v>25-34</v>
      </c>
      <c r="AL1023" t="str">
        <f t="shared" si="77"/>
        <v>2-4 yrs (Mid)</v>
      </c>
      <c r="AM1023" t="str">
        <f t="shared" si="78"/>
        <v>Mid (3K-7K)</v>
      </c>
      <c r="AN1023" t="str">
        <f t="shared" si="79"/>
        <v>Normal</v>
      </c>
    </row>
    <row r="1024" spans="1:40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 t="shared" si="75"/>
        <v>0</v>
      </c>
      <c r="AK1024" t="str">
        <f t="shared" si="76"/>
        <v>35-44</v>
      </c>
      <c r="AL1024" t="str">
        <f t="shared" si="77"/>
        <v>5-9 yrs (Senior)</v>
      </c>
      <c r="AM1024" t="str">
        <f t="shared" si="78"/>
        <v>Mid (3K-7K)</v>
      </c>
      <c r="AN1024" t="str">
        <f t="shared" si="79"/>
        <v>Normal</v>
      </c>
    </row>
    <row r="1025" spans="1:40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 t="shared" si="75"/>
        <v>0</v>
      </c>
      <c r="AK1025" t="str">
        <f t="shared" si="76"/>
        <v>55+</v>
      </c>
      <c r="AL1025" t="str">
        <f t="shared" si="77"/>
        <v>2-4 yrs (Mid)</v>
      </c>
      <c r="AM1025" t="str">
        <f t="shared" si="78"/>
        <v>Low (&lt;3K)</v>
      </c>
      <c r="AN1025" t="str">
        <f t="shared" si="79"/>
        <v>Normal</v>
      </c>
    </row>
    <row r="1026" spans="1:40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 t="shared" si="75"/>
        <v>0</v>
      </c>
      <c r="AK1026" t="str">
        <f t="shared" si="76"/>
        <v>45-54</v>
      </c>
      <c r="AL1026" t="str">
        <f t="shared" si="77"/>
        <v>10+ yrs (Veteran)</v>
      </c>
      <c r="AM1026" t="str">
        <f t="shared" si="78"/>
        <v>Very High (12K+)</v>
      </c>
      <c r="AN1026" t="str">
        <f t="shared" si="79"/>
        <v>Normal</v>
      </c>
    </row>
    <row r="1027" spans="1:40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 t="shared" ref="AJ1027:AJ1090" si="80">IF(B1027="Yes", 1, 0)</f>
        <v>0</v>
      </c>
      <c r="AK1027" t="str">
        <f t="shared" ref="AK1027:AK1090" si="81">IF(A1027&lt;25, "Under 25", IF(A1027&lt;35, "25-34", IF(A1027&lt;45, "35-44", IF(A1027&lt;55, "45-54", "55+"))))</f>
        <v>Under 25</v>
      </c>
      <c r="AL1027" t="str">
        <f t="shared" ref="AL1027:AL1090" si="82">IF(AF1027&lt;2, "0-1 yrs (New)", IF(AF1027&lt;5, "2-4 yrs (Mid)", IF(AF1027&lt;10, "5-9 yrs (Senior)", "10+ yrs (Veteran)")))</f>
        <v>5-9 yrs (Senior)</v>
      </c>
      <c r="AM1027" t="str">
        <f t="shared" ref="AM1027:AM1090" si="83">IF(S1027&lt;3000, "Low (&lt;3K)", IF(S1027&lt;7000, "Mid (3K-7K)", IF(S1027&lt;12000, "High (7K-12K)", "Very High (12K+)")))</f>
        <v>Mid (3K-7K)</v>
      </c>
      <c r="AN1027" t="str">
        <f t="shared" ref="AN1027:AN1090" si="84">IF(AND(W1027="Yes", Q1027&lt;=2), "High Risk", "Normal")</f>
        <v>Normal</v>
      </c>
    </row>
    <row r="1028" spans="1:40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 t="shared" si="80"/>
        <v>0</v>
      </c>
      <c r="AK1028" t="str">
        <f t="shared" si="81"/>
        <v>25-34</v>
      </c>
      <c r="AL1028" t="str">
        <f t="shared" si="82"/>
        <v>2-4 yrs (Mid)</v>
      </c>
      <c r="AM1028" t="str">
        <f t="shared" si="83"/>
        <v>High (7K-12K)</v>
      </c>
      <c r="AN1028" t="str">
        <f t="shared" si="84"/>
        <v>Normal</v>
      </c>
    </row>
    <row r="1029" spans="1:40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 t="shared" si="80"/>
        <v>0</v>
      </c>
      <c r="AK1029" t="str">
        <f t="shared" si="81"/>
        <v>25-34</v>
      </c>
      <c r="AL1029" t="str">
        <f t="shared" si="82"/>
        <v>5-9 yrs (Senior)</v>
      </c>
      <c r="AM1029" t="str">
        <f t="shared" si="83"/>
        <v>Mid (3K-7K)</v>
      </c>
      <c r="AN1029" t="str">
        <f t="shared" si="84"/>
        <v>Normal</v>
      </c>
    </row>
    <row r="1030" spans="1:40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 t="shared" si="80"/>
        <v>0</v>
      </c>
      <c r="AK1030" t="str">
        <f t="shared" si="81"/>
        <v>35-44</v>
      </c>
      <c r="AL1030" t="str">
        <f t="shared" si="82"/>
        <v>2-4 yrs (Mid)</v>
      </c>
      <c r="AM1030" t="str">
        <f t="shared" si="83"/>
        <v>Low (&lt;3K)</v>
      </c>
      <c r="AN1030" t="str">
        <f t="shared" si="84"/>
        <v>Normal</v>
      </c>
    </row>
    <row r="1031" spans="1:40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 t="shared" si="80"/>
        <v>0</v>
      </c>
      <c r="AK1031" t="str">
        <f t="shared" si="81"/>
        <v>35-44</v>
      </c>
      <c r="AL1031" t="str">
        <f t="shared" si="82"/>
        <v>5-9 yrs (Senior)</v>
      </c>
      <c r="AM1031" t="str">
        <f t="shared" si="83"/>
        <v>Mid (3K-7K)</v>
      </c>
      <c r="AN1031" t="str">
        <f t="shared" si="84"/>
        <v>Normal</v>
      </c>
    </row>
    <row r="1032" spans="1:40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 t="shared" si="80"/>
        <v>0</v>
      </c>
      <c r="AK1032" t="str">
        <f t="shared" si="81"/>
        <v>25-34</v>
      </c>
      <c r="AL1032" t="str">
        <f t="shared" si="82"/>
        <v>10+ yrs (Veteran)</v>
      </c>
      <c r="AM1032" t="str">
        <f t="shared" si="83"/>
        <v>High (7K-12K)</v>
      </c>
      <c r="AN1032" t="str">
        <f t="shared" si="84"/>
        <v>Normal</v>
      </c>
    </row>
    <row r="1033" spans="1:40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 t="shared" si="80"/>
        <v>1</v>
      </c>
      <c r="AK1033" t="str">
        <f t="shared" si="81"/>
        <v>45-54</v>
      </c>
      <c r="AL1033" t="str">
        <f t="shared" si="82"/>
        <v>5-9 yrs (Senior)</v>
      </c>
      <c r="AM1033" t="str">
        <f t="shared" si="83"/>
        <v>High (7K-12K)</v>
      </c>
      <c r="AN1033" t="str">
        <f t="shared" si="84"/>
        <v>Normal</v>
      </c>
    </row>
    <row r="1034" spans="1:40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 t="shared" si="80"/>
        <v>1</v>
      </c>
      <c r="AK1034" t="str">
        <f t="shared" si="81"/>
        <v>35-44</v>
      </c>
      <c r="AL1034" t="str">
        <f t="shared" si="82"/>
        <v>0-1 yrs (New)</v>
      </c>
      <c r="AM1034" t="str">
        <f t="shared" si="83"/>
        <v>Mid (3K-7K)</v>
      </c>
      <c r="AN1034" t="str">
        <f t="shared" si="84"/>
        <v>High Risk</v>
      </c>
    </row>
    <row r="1035" spans="1:40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 t="shared" si="80"/>
        <v>1</v>
      </c>
      <c r="AK1035" t="str">
        <f t="shared" si="81"/>
        <v>25-34</v>
      </c>
      <c r="AL1035" t="str">
        <f t="shared" si="82"/>
        <v>10+ yrs (Veteran)</v>
      </c>
      <c r="AM1035" t="str">
        <f t="shared" si="83"/>
        <v>High (7K-12K)</v>
      </c>
      <c r="AN1035" t="str">
        <f t="shared" si="84"/>
        <v>Normal</v>
      </c>
    </row>
    <row r="1036" spans="1:40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 t="shared" si="80"/>
        <v>0</v>
      </c>
      <c r="AK1036" t="str">
        <f t="shared" si="81"/>
        <v>45-54</v>
      </c>
      <c r="AL1036" t="str">
        <f t="shared" si="82"/>
        <v>5-9 yrs (Senior)</v>
      </c>
      <c r="AM1036" t="str">
        <f t="shared" si="83"/>
        <v>High (7K-12K)</v>
      </c>
      <c r="AN1036" t="str">
        <f t="shared" si="84"/>
        <v>High Risk</v>
      </c>
    </row>
    <row r="1037" spans="1:40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 t="shared" si="80"/>
        <v>0</v>
      </c>
      <c r="AK1037" t="str">
        <f t="shared" si="81"/>
        <v>25-34</v>
      </c>
      <c r="AL1037" t="str">
        <f t="shared" si="82"/>
        <v>2-4 yrs (Mid)</v>
      </c>
      <c r="AM1037" t="str">
        <f t="shared" si="83"/>
        <v>Low (&lt;3K)</v>
      </c>
      <c r="AN1037" t="str">
        <f t="shared" si="84"/>
        <v>Normal</v>
      </c>
    </row>
    <row r="1038" spans="1:40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 t="shared" si="80"/>
        <v>1</v>
      </c>
      <c r="AK1038" t="str">
        <f t="shared" si="81"/>
        <v>25-34</v>
      </c>
      <c r="AL1038" t="str">
        <f t="shared" si="82"/>
        <v>2-4 yrs (Mid)</v>
      </c>
      <c r="AM1038" t="str">
        <f t="shared" si="83"/>
        <v>Mid (3K-7K)</v>
      </c>
      <c r="AN1038" t="str">
        <f t="shared" si="84"/>
        <v>Normal</v>
      </c>
    </row>
    <row r="1039" spans="1:40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 t="shared" si="80"/>
        <v>0</v>
      </c>
      <c r="AK1039" t="str">
        <f t="shared" si="81"/>
        <v>45-54</v>
      </c>
      <c r="AL1039" t="str">
        <f t="shared" si="82"/>
        <v>2-4 yrs (Mid)</v>
      </c>
      <c r="AM1039" t="str">
        <f t="shared" si="83"/>
        <v>High (7K-12K)</v>
      </c>
      <c r="AN1039" t="str">
        <f t="shared" si="84"/>
        <v>Normal</v>
      </c>
    </row>
    <row r="1040" spans="1:40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 t="shared" si="80"/>
        <v>0</v>
      </c>
      <c r="AK1040" t="str">
        <f t="shared" si="81"/>
        <v>45-54</v>
      </c>
      <c r="AL1040" t="str">
        <f t="shared" si="82"/>
        <v>2-4 yrs (Mid)</v>
      </c>
      <c r="AM1040" t="str">
        <f t="shared" si="83"/>
        <v>Mid (3K-7K)</v>
      </c>
      <c r="AN1040" t="str">
        <f t="shared" si="84"/>
        <v>Normal</v>
      </c>
    </row>
    <row r="1041" spans="1:40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 t="shared" si="80"/>
        <v>1</v>
      </c>
      <c r="AK1041" t="str">
        <f t="shared" si="81"/>
        <v>25-34</v>
      </c>
      <c r="AL1041" t="str">
        <f t="shared" si="82"/>
        <v>2-4 yrs (Mid)</v>
      </c>
      <c r="AM1041" t="str">
        <f t="shared" si="83"/>
        <v>Low (&lt;3K)</v>
      </c>
      <c r="AN1041" t="str">
        <f t="shared" si="84"/>
        <v>Normal</v>
      </c>
    </row>
    <row r="1042" spans="1:40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 t="shared" si="80"/>
        <v>0</v>
      </c>
      <c r="AK1042" t="str">
        <f t="shared" si="81"/>
        <v>35-44</v>
      </c>
      <c r="AL1042" t="str">
        <f t="shared" si="82"/>
        <v>5-9 yrs (Senior)</v>
      </c>
      <c r="AM1042" t="str">
        <f t="shared" si="83"/>
        <v>Very High (12K+)</v>
      </c>
      <c r="AN1042" t="str">
        <f t="shared" si="84"/>
        <v>Normal</v>
      </c>
    </row>
    <row r="1043" spans="1:40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 t="shared" si="80"/>
        <v>0</v>
      </c>
      <c r="AK1043" t="str">
        <f t="shared" si="81"/>
        <v>25-34</v>
      </c>
      <c r="AL1043" t="str">
        <f t="shared" si="82"/>
        <v>5-9 yrs (Senior)</v>
      </c>
      <c r="AM1043" t="str">
        <f t="shared" si="83"/>
        <v>High (7K-12K)</v>
      </c>
      <c r="AN1043" t="str">
        <f t="shared" si="84"/>
        <v>Normal</v>
      </c>
    </row>
    <row r="1044" spans="1:40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 t="shared" si="80"/>
        <v>0</v>
      </c>
      <c r="AK1044" t="str">
        <f t="shared" si="81"/>
        <v>35-44</v>
      </c>
      <c r="AL1044" t="str">
        <f t="shared" si="82"/>
        <v>5-9 yrs (Senior)</v>
      </c>
      <c r="AM1044" t="str">
        <f t="shared" si="83"/>
        <v>Mid (3K-7K)</v>
      </c>
      <c r="AN1044" t="str">
        <f t="shared" si="84"/>
        <v>Normal</v>
      </c>
    </row>
    <row r="1045" spans="1:40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 t="shared" si="80"/>
        <v>0</v>
      </c>
      <c r="AK1045" t="str">
        <f t="shared" si="81"/>
        <v>45-54</v>
      </c>
      <c r="AL1045" t="str">
        <f t="shared" si="82"/>
        <v>5-9 yrs (Senior)</v>
      </c>
      <c r="AM1045" t="str">
        <f t="shared" si="83"/>
        <v>Very High (12K+)</v>
      </c>
      <c r="AN1045" t="str">
        <f t="shared" si="84"/>
        <v>Normal</v>
      </c>
    </row>
    <row r="1046" spans="1:40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 t="shared" si="80"/>
        <v>0</v>
      </c>
      <c r="AK1046" t="str">
        <f t="shared" si="81"/>
        <v>45-54</v>
      </c>
      <c r="AL1046" t="str">
        <f t="shared" si="82"/>
        <v>2-4 yrs (Mid)</v>
      </c>
      <c r="AM1046" t="str">
        <f t="shared" si="83"/>
        <v>Mid (3K-7K)</v>
      </c>
      <c r="AN1046" t="str">
        <f t="shared" si="84"/>
        <v>Normal</v>
      </c>
    </row>
    <row r="1047" spans="1:40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 t="shared" si="80"/>
        <v>0</v>
      </c>
      <c r="AK1047" t="str">
        <f t="shared" si="81"/>
        <v>35-44</v>
      </c>
      <c r="AL1047" t="str">
        <f t="shared" si="82"/>
        <v>2-4 yrs (Mid)</v>
      </c>
      <c r="AM1047" t="str">
        <f t="shared" si="83"/>
        <v>Low (&lt;3K)</v>
      </c>
      <c r="AN1047" t="str">
        <f t="shared" si="84"/>
        <v>Normal</v>
      </c>
    </row>
    <row r="1048" spans="1:40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 t="shared" si="80"/>
        <v>0</v>
      </c>
      <c r="AK1048" t="str">
        <f t="shared" si="81"/>
        <v>35-44</v>
      </c>
      <c r="AL1048" t="str">
        <f t="shared" si="82"/>
        <v>5-9 yrs (Senior)</v>
      </c>
      <c r="AM1048" t="str">
        <f t="shared" si="83"/>
        <v>Mid (3K-7K)</v>
      </c>
      <c r="AN1048" t="str">
        <f t="shared" si="84"/>
        <v>Normal</v>
      </c>
    </row>
    <row r="1049" spans="1:40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 t="shared" si="80"/>
        <v>0</v>
      </c>
      <c r="AK1049" t="str">
        <f t="shared" si="81"/>
        <v>25-34</v>
      </c>
      <c r="AL1049" t="str">
        <f t="shared" si="82"/>
        <v>2-4 yrs (Mid)</v>
      </c>
      <c r="AM1049" t="str">
        <f t="shared" si="83"/>
        <v>Mid (3K-7K)</v>
      </c>
      <c r="AN1049" t="str">
        <f t="shared" si="84"/>
        <v>Normal</v>
      </c>
    </row>
    <row r="1050" spans="1:40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 t="shared" si="80"/>
        <v>0</v>
      </c>
      <c r="AK1050" t="str">
        <f t="shared" si="81"/>
        <v>25-34</v>
      </c>
      <c r="AL1050" t="str">
        <f t="shared" si="82"/>
        <v>10+ yrs (Veteran)</v>
      </c>
      <c r="AM1050" t="str">
        <f t="shared" si="83"/>
        <v>Mid (3K-7K)</v>
      </c>
      <c r="AN1050" t="str">
        <f t="shared" si="84"/>
        <v>Normal</v>
      </c>
    </row>
    <row r="1051" spans="1:40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 t="shared" si="80"/>
        <v>0</v>
      </c>
      <c r="AK1051" t="str">
        <f t="shared" si="81"/>
        <v>25-34</v>
      </c>
      <c r="AL1051" t="str">
        <f t="shared" si="82"/>
        <v>2-4 yrs (Mid)</v>
      </c>
      <c r="AM1051" t="str">
        <f t="shared" si="83"/>
        <v>Mid (3K-7K)</v>
      </c>
      <c r="AN1051" t="str">
        <f t="shared" si="84"/>
        <v>Normal</v>
      </c>
    </row>
    <row r="1052" spans="1:40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 t="shared" si="80"/>
        <v>0</v>
      </c>
      <c r="AK1052" t="str">
        <f t="shared" si="81"/>
        <v>35-44</v>
      </c>
      <c r="AL1052" t="str">
        <f t="shared" si="82"/>
        <v>10+ yrs (Veteran)</v>
      </c>
      <c r="AM1052" t="str">
        <f t="shared" si="83"/>
        <v>Mid (3K-7K)</v>
      </c>
      <c r="AN1052" t="str">
        <f t="shared" si="84"/>
        <v>Normal</v>
      </c>
    </row>
    <row r="1053" spans="1:40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 t="shared" si="80"/>
        <v>0</v>
      </c>
      <c r="AK1053" t="str">
        <f t="shared" si="81"/>
        <v>35-44</v>
      </c>
      <c r="AL1053" t="str">
        <f t="shared" si="82"/>
        <v>0-1 yrs (New)</v>
      </c>
      <c r="AM1053" t="str">
        <f t="shared" si="83"/>
        <v>Mid (3K-7K)</v>
      </c>
      <c r="AN1053" t="str">
        <f t="shared" si="84"/>
        <v>Normal</v>
      </c>
    </row>
    <row r="1054" spans="1:40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 t="shared" si="80"/>
        <v>0</v>
      </c>
      <c r="AK1054" t="str">
        <f t="shared" si="81"/>
        <v>25-34</v>
      </c>
      <c r="AL1054" t="str">
        <f t="shared" si="82"/>
        <v>0-1 yrs (New)</v>
      </c>
      <c r="AM1054" t="str">
        <f t="shared" si="83"/>
        <v>Low (&lt;3K)</v>
      </c>
      <c r="AN1054" t="str">
        <f t="shared" si="84"/>
        <v>Normal</v>
      </c>
    </row>
    <row r="1055" spans="1:40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 t="shared" si="80"/>
        <v>0</v>
      </c>
      <c r="AK1055" t="str">
        <f t="shared" si="81"/>
        <v>55+</v>
      </c>
      <c r="AL1055" t="str">
        <f t="shared" si="82"/>
        <v>10+ yrs (Veteran)</v>
      </c>
      <c r="AM1055" t="str">
        <f t="shared" si="83"/>
        <v>Mid (3K-7K)</v>
      </c>
      <c r="AN1055" t="str">
        <f t="shared" si="84"/>
        <v>Normal</v>
      </c>
    </row>
    <row r="1056" spans="1:40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 t="shared" si="80"/>
        <v>0</v>
      </c>
      <c r="AK1056" t="str">
        <f t="shared" si="81"/>
        <v>45-54</v>
      </c>
      <c r="AL1056" t="str">
        <f t="shared" si="82"/>
        <v>5-9 yrs (Senior)</v>
      </c>
      <c r="AM1056" t="str">
        <f t="shared" si="83"/>
        <v>High (7K-12K)</v>
      </c>
      <c r="AN1056" t="str">
        <f t="shared" si="84"/>
        <v>Normal</v>
      </c>
    </row>
    <row r="1057" spans="1:40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 t="shared" si="80"/>
        <v>0</v>
      </c>
      <c r="AK1057" t="str">
        <f t="shared" si="81"/>
        <v>25-34</v>
      </c>
      <c r="AL1057" t="str">
        <f t="shared" si="82"/>
        <v>10+ yrs (Veteran)</v>
      </c>
      <c r="AM1057" t="str">
        <f t="shared" si="83"/>
        <v>Very High (12K+)</v>
      </c>
      <c r="AN1057" t="str">
        <f t="shared" si="84"/>
        <v>Normal</v>
      </c>
    </row>
    <row r="1058" spans="1:40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 t="shared" si="80"/>
        <v>1</v>
      </c>
      <c r="AK1058" t="str">
        <f t="shared" si="81"/>
        <v>25-34</v>
      </c>
      <c r="AL1058" t="str">
        <f t="shared" si="82"/>
        <v>2-4 yrs (Mid)</v>
      </c>
      <c r="AM1058" t="str">
        <f t="shared" si="83"/>
        <v>Low (&lt;3K)</v>
      </c>
      <c r="AN1058" t="str">
        <f t="shared" si="84"/>
        <v>Normal</v>
      </c>
    </row>
    <row r="1059" spans="1:40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 t="shared" si="80"/>
        <v>1</v>
      </c>
      <c r="AK1059" t="str">
        <f t="shared" si="81"/>
        <v>25-34</v>
      </c>
      <c r="AL1059" t="str">
        <f t="shared" si="82"/>
        <v>5-9 yrs (Senior)</v>
      </c>
      <c r="AM1059" t="str">
        <f t="shared" si="83"/>
        <v>Mid (3K-7K)</v>
      </c>
      <c r="AN1059" t="str">
        <f t="shared" si="84"/>
        <v>Normal</v>
      </c>
    </row>
    <row r="1060" spans="1:40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 t="shared" si="80"/>
        <v>1</v>
      </c>
      <c r="AK1060" t="str">
        <f t="shared" si="81"/>
        <v>25-34</v>
      </c>
      <c r="AL1060" t="str">
        <f t="shared" si="82"/>
        <v>10+ yrs (Veteran)</v>
      </c>
      <c r="AM1060" t="str">
        <f t="shared" si="83"/>
        <v>Mid (3K-7K)</v>
      </c>
      <c r="AN1060" t="str">
        <f t="shared" si="84"/>
        <v>High Risk</v>
      </c>
    </row>
    <row r="1061" spans="1:40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 t="shared" si="80"/>
        <v>0</v>
      </c>
      <c r="AK1061" t="str">
        <f t="shared" si="81"/>
        <v>35-44</v>
      </c>
      <c r="AL1061" t="str">
        <f t="shared" si="82"/>
        <v>0-1 yrs (New)</v>
      </c>
      <c r="AM1061" t="str">
        <f t="shared" si="83"/>
        <v>Low (&lt;3K)</v>
      </c>
      <c r="AN1061" t="str">
        <f t="shared" si="84"/>
        <v>Normal</v>
      </c>
    </row>
    <row r="1062" spans="1:40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 t="shared" si="80"/>
        <v>1</v>
      </c>
      <c r="AK1062" t="str">
        <f t="shared" si="81"/>
        <v>Under 25</v>
      </c>
      <c r="AL1062" t="str">
        <f t="shared" si="82"/>
        <v>0-1 yrs (New)</v>
      </c>
      <c r="AM1062" t="str">
        <f t="shared" si="83"/>
        <v>Mid (3K-7K)</v>
      </c>
      <c r="AN1062" t="str">
        <f t="shared" si="84"/>
        <v>High Risk</v>
      </c>
    </row>
    <row r="1063" spans="1:40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 t="shared" si="80"/>
        <v>0</v>
      </c>
      <c r="AK1063" t="str">
        <f t="shared" si="81"/>
        <v>Under 25</v>
      </c>
      <c r="AL1063" t="str">
        <f t="shared" si="82"/>
        <v>0-1 yrs (New)</v>
      </c>
      <c r="AM1063" t="str">
        <f t="shared" si="83"/>
        <v>Low (&lt;3K)</v>
      </c>
      <c r="AN1063" t="str">
        <f t="shared" si="84"/>
        <v>Normal</v>
      </c>
    </row>
    <row r="1064" spans="1:40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 t="shared" si="80"/>
        <v>0</v>
      </c>
      <c r="AK1064" t="str">
        <f t="shared" si="81"/>
        <v>35-44</v>
      </c>
      <c r="AL1064" t="str">
        <f t="shared" si="82"/>
        <v>2-4 yrs (Mid)</v>
      </c>
      <c r="AM1064" t="str">
        <f t="shared" si="83"/>
        <v>High (7K-12K)</v>
      </c>
      <c r="AN1064" t="str">
        <f t="shared" si="84"/>
        <v>Normal</v>
      </c>
    </row>
    <row r="1065" spans="1:40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 t="shared" si="80"/>
        <v>0</v>
      </c>
      <c r="AK1065" t="str">
        <f t="shared" si="81"/>
        <v>25-34</v>
      </c>
      <c r="AL1065" t="str">
        <f t="shared" si="82"/>
        <v>10+ yrs (Veteran)</v>
      </c>
      <c r="AM1065" t="str">
        <f t="shared" si="83"/>
        <v>High (7K-12K)</v>
      </c>
      <c r="AN1065" t="str">
        <f t="shared" si="84"/>
        <v>Normal</v>
      </c>
    </row>
    <row r="1066" spans="1:40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 t="shared" si="80"/>
        <v>0</v>
      </c>
      <c r="AK1066" t="str">
        <f t="shared" si="81"/>
        <v>25-34</v>
      </c>
      <c r="AL1066" t="str">
        <f t="shared" si="82"/>
        <v>5-9 yrs (Senior)</v>
      </c>
      <c r="AM1066" t="str">
        <f t="shared" si="83"/>
        <v>Low (&lt;3K)</v>
      </c>
      <c r="AN1066" t="str">
        <f t="shared" si="84"/>
        <v>Normal</v>
      </c>
    </row>
    <row r="1067" spans="1:40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 t="shared" si="80"/>
        <v>0</v>
      </c>
      <c r="AK1067" t="str">
        <f t="shared" si="81"/>
        <v>55+</v>
      </c>
      <c r="AL1067" t="str">
        <f t="shared" si="82"/>
        <v>2-4 yrs (Mid)</v>
      </c>
      <c r="AM1067" t="str">
        <f t="shared" si="83"/>
        <v>Mid (3K-7K)</v>
      </c>
      <c r="AN1067" t="str">
        <f t="shared" si="84"/>
        <v>Normal</v>
      </c>
    </row>
    <row r="1068" spans="1:40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 t="shared" si="80"/>
        <v>0</v>
      </c>
      <c r="AK1068" t="str">
        <f t="shared" si="81"/>
        <v>25-34</v>
      </c>
      <c r="AL1068" t="str">
        <f t="shared" si="82"/>
        <v>5-9 yrs (Senior)</v>
      </c>
      <c r="AM1068" t="str">
        <f t="shared" si="83"/>
        <v>Mid (3K-7K)</v>
      </c>
      <c r="AN1068" t="str">
        <f t="shared" si="84"/>
        <v>Normal</v>
      </c>
    </row>
    <row r="1069" spans="1:40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 t="shared" si="80"/>
        <v>0</v>
      </c>
      <c r="AK1069" t="str">
        <f t="shared" si="81"/>
        <v>45-54</v>
      </c>
      <c r="AL1069" t="str">
        <f t="shared" si="82"/>
        <v>5-9 yrs (Senior)</v>
      </c>
      <c r="AM1069" t="str">
        <f t="shared" si="83"/>
        <v>Mid (3K-7K)</v>
      </c>
      <c r="AN1069" t="str">
        <f t="shared" si="84"/>
        <v>Normal</v>
      </c>
    </row>
    <row r="1070" spans="1:40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 t="shared" si="80"/>
        <v>1</v>
      </c>
      <c r="AK1070" t="str">
        <f t="shared" si="81"/>
        <v>25-34</v>
      </c>
      <c r="AL1070" t="str">
        <f t="shared" si="82"/>
        <v>0-1 yrs (New)</v>
      </c>
      <c r="AM1070" t="str">
        <f t="shared" si="83"/>
        <v>Low (&lt;3K)</v>
      </c>
      <c r="AN1070" t="str">
        <f t="shared" si="84"/>
        <v>Normal</v>
      </c>
    </row>
    <row r="1071" spans="1:40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 t="shared" si="80"/>
        <v>0</v>
      </c>
      <c r="AK1071" t="str">
        <f t="shared" si="81"/>
        <v>25-34</v>
      </c>
      <c r="AL1071" t="str">
        <f t="shared" si="82"/>
        <v>0-1 yrs (New)</v>
      </c>
      <c r="AM1071" t="str">
        <f t="shared" si="83"/>
        <v>Low (&lt;3K)</v>
      </c>
      <c r="AN1071" t="str">
        <f t="shared" si="84"/>
        <v>Normal</v>
      </c>
    </row>
    <row r="1072" spans="1:40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 t="shared" si="80"/>
        <v>0</v>
      </c>
      <c r="AK1072" t="str">
        <f t="shared" si="81"/>
        <v>25-34</v>
      </c>
      <c r="AL1072" t="str">
        <f t="shared" si="82"/>
        <v>2-4 yrs (Mid)</v>
      </c>
      <c r="AM1072" t="str">
        <f t="shared" si="83"/>
        <v>Mid (3K-7K)</v>
      </c>
      <c r="AN1072" t="str">
        <f t="shared" si="84"/>
        <v>Normal</v>
      </c>
    </row>
    <row r="1073" spans="1:40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 t="shared" si="80"/>
        <v>0</v>
      </c>
      <c r="AK1073" t="str">
        <f t="shared" si="81"/>
        <v>45-54</v>
      </c>
      <c r="AL1073" t="str">
        <f t="shared" si="82"/>
        <v>2-4 yrs (Mid)</v>
      </c>
      <c r="AM1073" t="str">
        <f t="shared" si="83"/>
        <v>Mid (3K-7K)</v>
      </c>
      <c r="AN1073" t="str">
        <f t="shared" si="84"/>
        <v>Normal</v>
      </c>
    </row>
    <row r="1074" spans="1:40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 t="shared" si="80"/>
        <v>0</v>
      </c>
      <c r="AK1074" t="str">
        <f t="shared" si="81"/>
        <v>25-34</v>
      </c>
      <c r="AL1074" t="str">
        <f t="shared" si="82"/>
        <v>2-4 yrs (Mid)</v>
      </c>
      <c r="AM1074" t="str">
        <f t="shared" si="83"/>
        <v>Mid (3K-7K)</v>
      </c>
      <c r="AN1074" t="str">
        <f t="shared" si="84"/>
        <v>Normal</v>
      </c>
    </row>
    <row r="1075" spans="1:40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 t="shared" si="80"/>
        <v>0</v>
      </c>
      <c r="AK1075" t="str">
        <f t="shared" si="81"/>
        <v>25-34</v>
      </c>
      <c r="AL1075" t="str">
        <f t="shared" si="82"/>
        <v>5-9 yrs (Senior)</v>
      </c>
      <c r="AM1075" t="str">
        <f t="shared" si="83"/>
        <v>Mid (3K-7K)</v>
      </c>
      <c r="AN1075" t="str">
        <f t="shared" si="84"/>
        <v>Normal</v>
      </c>
    </row>
    <row r="1076" spans="1:40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 t="shared" si="80"/>
        <v>0</v>
      </c>
      <c r="AK1076" t="str">
        <f t="shared" si="81"/>
        <v>25-34</v>
      </c>
      <c r="AL1076" t="str">
        <f t="shared" si="82"/>
        <v>0-1 yrs (New)</v>
      </c>
      <c r="AM1076" t="str">
        <f t="shared" si="83"/>
        <v>Mid (3K-7K)</v>
      </c>
      <c r="AN1076" t="str">
        <f t="shared" si="84"/>
        <v>Normal</v>
      </c>
    </row>
    <row r="1077" spans="1:40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 t="shared" si="80"/>
        <v>0</v>
      </c>
      <c r="AK1077" t="str">
        <f t="shared" si="81"/>
        <v>25-34</v>
      </c>
      <c r="AL1077" t="str">
        <f t="shared" si="82"/>
        <v>5-9 yrs (Senior)</v>
      </c>
      <c r="AM1077" t="str">
        <f t="shared" si="83"/>
        <v>High (7K-12K)</v>
      </c>
      <c r="AN1077" t="str">
        <f t="shared" si="84"/>
        <v>Normal</v>
      </c>
    </row>
    <row r="1078" spans="1:40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 t="shared" si="80"/>
        <v>0</v>
      </c>
      <c r="AK1078" t="str">
        <f t="shared" si="81"/>
        <v>45-54</v>
      </c>
      <c r="AL1078" t="str">
        <f t="shared" si="82"/>
        <v>10+ yrs (Veteran)</v>
      </c>
      <c r="AM1078" t="str">
        <f t="shared" si="83"/>
        <v>Very High (12K+)</v>
      </c>
      <c r="AN1078" t="str">
        <f t="shared" si="84"/>
        <v>Normal</v>
      </c>
    </row>
    <row r="1079" spans="1:40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 t="shared" si="80"/>
        <v>1</v>
      </c>
      <c r="AK1079" t="str">
        <f t="shared" si="81"/>
        <v>25-34</v>
      </c>
      <c r="AL1079" t="str">
        <f t="shared" si="82"/>
        <v>5-9 yrs (Senior)</v>
      </c>
      <c r="AM1079" t="str">
        <f t="shared" si="83"/>
        <v>Low (&lt;3K)</v>
      </c>
      <c r="AN1079" t="str">
        <f t="shared" si="84"/>
        <v>Normal</v>
      </c>
    </row>
    <row r="1080" spans="1:40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 t="shared" si="80"/>
        <v>0</v>
      </c>
      <c r="AK1080" t="str">
        <f t="shared" si="81"/>
        <v>35-44</v>
      </c>
      <c r="AL1080" t="str">
        <f t="shared" si="82"/>
        <v>10+ yrs (Veteran)</v>
      </c>
      <c r="AM1080" t="str">
        <f t="shared" si="83"/>
        <v>Very High (12K+)</v>
      </c>
      <c r="AN1080" t="str">
        <f t="shared" si="84"/>
        <v>Normal</v>
      </c>
    </row>
    <row r="1081" spans="1:40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 t="shared" si="80"/>
        <v>0</v>
      </c>
      <c r="AK1081" t="str">
        <f t="shared" si="81"/>
        <v>35-44</v>
      </c>
      <c r="AL1081" t="str">
        <f t="shared" si="82"/>
        <v>2-4 yrs (Mid)</v>
      </c>
      <c r="AM1081" t="str">
        <f t="shared" si="83"/>
        <v>High (7K-12K)</v>
      </c>
      <c r="AN1081" t="str">
        <f t="shared" si="84"/>
        <v>Normal</v>
      </c>
    </row>
    <row r="1082" spans="1:40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 t="shared" si="80"/>
        <v>0</v>
      </c>
      <c r="AK1082" t="str">
        <f t="shared" si="81"/>
        <v>45-54</v>
      </c>
      <c r="AL1082" t="str">
        <f t="shared" si="82"/>
        <v>10+ yrs (Veteran)</v>
      </c>
      <c r="AM1082" t="str">
        <f t="shared" si="83"/>
        <v>Very High (12K+)</v>
      </c>
      <c r="AN1082" t="str">
        <f t="shared" si="84"/>
        <v>Normal</v>
      </c>
    </row>
    <row r="1083" spans="1:40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 t="shared" si="80"/>
        <v>0</v>
      </c>
      <c r="AK1083" t="str">
        <f t="shared" si="81"/>
        <v>35-44</v>
      </c>
      <c r="AL1083" t="str">
        <f t="shared" si="82"/>
        <v>10+ yrs (Veteran)</v>
      </c>
      <c r="AM1083" t="str">
        <f t="shared" si="83"/>
        <v>High (7K-12K)</v>
      </c>
      <c r="AN1083" t="str">
        <f t="shared" si="84"/>
        <v>Normal</v>
      </c>
    </row>
    <row r="1084" spans="1:40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 t="shared" si="80"/>
        <v>0</v>
      </c>
      <c r="AK1084" t="str">
        <f t="shared" si="81"/>
        <v>Under 25</v>
      </c>
      <c r="AL1084" t="str">
        <f t="shared" si="82"/>
        <v>2-4 yrs (Mid)</v>
      </c>
      <c r="AM1084" t="str">
        <f t="shared" si="83"/>
        <v>Low (&lt;3K)</v>
      </c>
      <c r="AN1084" t="str">
        <f t="shared" si="84"/>
        <v>Normal</v>
      </c>
    </row>
    <row r="1085" spans="1:40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 t="shared" si="80"/>
        <v>1</v>
      </c>
      <c r="AK1085" t="str">
        <f t="shared" si="81"/>
        <v>35-44</v>
      </c>
      <c r="AL1085" t="str">
        <f t="shared" si="82"/>
        <v>5-9 yrs (Senior)</v>
      </c>
      <c r="AM1085" t="str">
        <f t="shared" si="83"/>
        <v>Low (&lt;3K)</v>
      </c>
      <c r="AN1085" t="str">
        <f t="shared" si="84"/>
        <v>Normal</v>
      </c>
    </row>
    <row r="1086" spans="1:40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 t="shared" si="80"/>
        <v>0</v>
      </c>
      <c r="AK1086" t="str">
        <f t="shared" si="81"/>
        <v>25-34</v>
      </c>
      <c r="AL1086" t="str">
        <f t="shared" si="82"/>
        <v>10+ yrs (Veteran)</v>
      </c>
      <c r="AM1086" t="str">
        <f t="shared" si="83"/>
        <v>High (7K-12K)</v>
      </c>
      <c r="AN1086" t="str">
        <f t="shared" si="84"/>
        <v>Normal</v>
      </c>
    </row>
    <row r="1087" spans="1:40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 t="shared" si="80"/>
        <v>1</v>
      </c>
      <c r="AK1087" t="str">
        <f t="shared" si="81"/>
        <v>25-34</v>
      </c>
      <c r="AL1087" t="str">
        <f t="shared" si="82"/>
        <v>5-9 yrs (Senior)</v>
      </c>
      <c r="AM1087" t="str">
        <f t="shared" si="83"/>
        <v>Mid (3K-7K)</v>
      </c>
      <c r="AN1087" t="str">
        <f t="shared" si="84"/>
        <v>Normal</v>
      </c>
    </row>
    <row r="1088" spans="1:40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 t="shared" si="80"/>
        <v>0</v>
      </c>
      <c r="AK1088" t="str">
        <f t="shared" si="81"/>
        <v>45-54</v>
      </c>
      <c r="AL1088" t="str">
        <f t="shared" si="82"/>
        <v>10+ yrs (Veteran)</v>
      </c>
      <c r="AM1088" t="str">
        <f t="shared" si="83"/>
        <v>Very High (12K+)</v>
      </c>
      <c r="AN1088" t="str">
        <f t="shared" si="84"/>
        <v>Normal</v>
      </c>
    </row>
    <row r="1089" spans="1:40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 t="shared" si="80"/>
        <v>0</v>
      </c>
      <c r="AK1089" t="str">
        <f t="shared" si="81"/>
        <v>25-34</v>
      </c>
      <c r="AL1089" t="str">
        <f t="shared" si="82"/>
        <v>10+ yrs (Veteran)</v>
      </c>
      <c r="AM1089" t="str">
        <f t="shared" si="83"/>
        <v>Low (&lt;3K)</v>
      </c>
      <c r="AN1089" t="str">
        <f t="shared" si="84"/>
        <v>Normal</v>
      </c>
    </row>
    <row r="1090" spans="1:40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 t="shared" si="80"/>
        <v>0</v>
      </c>
      <c r="AK1090" t="str">
        <f t="shared" si="81"/>
        <v>35-44</v>
      </c>
      <c r="AL1090" t="str">
        <f t="shared" si="82"/>
        <v>0-1 yrs (New)</v>
      </c>
      <c r="AM1090" t="str">
        <f t="shared" si="83"/>
        <v>Mid (3K-7K)</v>
      </c>
      <c r="AN1090" t="str">
        <f t="shared" si="84"/>
        <v>Normal</v>
      </c>
    </row>
    <row r="1091" spans="1:40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 t="shared" ref="AJ1091:AJ1154" si="85">IF(B1091="Yes", 1, 0)</f>
        <v>0</v>
      </c>
      <c r="AK1091" t="str">
        <f t="shared" ref="AK1091:AK1154" si="86">IF(A1091&lt;25, "Under 25", IF(A1091&lt;35, "25-34", IF(A1091&lt;45, "35-44", IF(A1091&lt;55, "45-54", "55+"))))</f>
        <v>35-44</v>
      </c>
      <c r="AL1091" t="str">
        <f t="shared" ref="AL1091:AL1154" si="87">IF(AF1091&lt;2, "0-1 yrs (New)", IF(AF1091&lt;5, "2-4 yrs (Mid)", IF(AF1091&lt;10, "5-9 yrs (Senior)", "10+ yrs (Veteran)")))</f>
        <v>10+ yrs (Veteran)</v>
      </c>
      <c r="AM1091" t="str">
        <f t="shared" ref="AM1091:AM1154" si="88">IF(S1091&lt;3000, "Low (&lt;3K)", IF(S1091&lt;7000, "Mid (3K-7K)", IF(S1091&lt;12000, "High (7K-12K)", "Very High (12K+)")))</f>
        <v>Mid (3K-7K)</v>
      </c>
      <c r="AN1091" t="str">
        <f t="shared" ref="AN1091:AN1154" si="89">IF(AND(W1091="Yes", Q1091&lt;=2), "High Risk", "Normal")</f>
        <v>Normal</v>
      </c>
    </row>
    <row r="1092" spans="1:40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 t="shared" si="85"/>
        <v>0</v>
      </c>
      <c r="AK1092" t="str">
        <f t="shared" si="86"/>
        <v>25-34</v>
      </c>
      <c r="AL1092" t="str">
        <f t="shared" si="87"/>
        <v>5-9 yrs (Senior)</v>
      </c>
      <c r="AM1092" t="str">
        <f t="shared" si="88"/>
        <v>High (7K-12K)</v>
      </c>
      <c r="AN1092" t="str">
        <f t="shared" si="89"/>
        <v>Normal</v>
      </c>
    </row>
    <row r="1093" spans="1:40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 t="shared" si="85"/>
        <v>0</v>
      </c>
      <c r="AK1093" t="str">
        <f t="shared" si="86"/>
        <v>25-34</v>
      </c>
      <c r="AL1093" t="str">
        <f t="shared" si="87"/>
        <v>5-9 yrs (Senior)</v>
      </c>
      <c r="AM1093" t="str">
        <f t="shared" si="88"/>
        <v>Mid (3K-7K)</v>
      </c>
      <c r="AN1093" t="str">
        <f t="shared" si="89"/>
        <v>Normal</v>
      </c>
    </row>
    <row r="1094" spans="1:40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 t="shared" si="85"/>
        <v>0</v>
      </c>
      <c r="AK1094" t="str">
        <f t="shared" si="86"/>
        <v>45-54</v>
      </c>
      <c r="AL1094" t="str">
        <f t="shared" si="87"/>
        <v>5-9 yrs (Senior)</v>
      </c>
      <c r="AM1094" t="str">
        <f t="shared" si="88"/>
        <v>Low (&lt;3K)</v>
      </c>
      <c r="AN1094" t="str">
        <f t="shared" si="89"/>
        <v>Normal</v>
      </c>
    </row>
    <row r="1095" spans="1:40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 t="shared" si="85"/>
        <v>0</v>
      </c>
      <c r="AK1095" t="str">
        <f t="shared" si="86"/>
        <v>35-44</v>
      </c>
      <c r="AL1095" t="str">
        <f t="shared" si="87"/>
        <v>10+ yrs (Veteran)</v>
      </c>
      <c r="AM1095" t="str">
        <f t="shared" si="88"/>
        <v>High (7K-12K)</v>
      </c>
      <c r="AN1095" t="str">
        <f t="shared" si="89"/>
        <v>Normal</v>
      </c>
    </row>
    <row r="1096" spans="1:40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 t="shared" si="85"/>
        <v>0</v>
      </c>
      <c r="AK1096" t="str">
        <f t="shared" si="86"/>
        <v>35-44</v>
      </c>
      <c r="AL1096" t="str">
        <f t="shared" si="87"/>
        <v>5-9 yrs (Senior)</v>
      </c>
      <c r="AM1096" t="str">
        <f t="shared" si="88"/>
        <v>Mid (3K-7K)</v>
      </c>
      <c r="AN1096" t="str">
        <f t="shared" si="89"/>
        <v>Normal</v>
      </c>
    </row>
    <row r="1097" spans="1:40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 t="shared" si="85"/>
        <v>0</v>
      </c>
      <c r="AK1097" t="str">
        <f t="shared" si="86"/>
        <v>25-34</v>
      </c>
      <c r="AL1097" t="str">
        <f t="shared" si="87"/>
        <v>10+ yrs (Veteran)</v>
      </c>
      <c r="AM1097" t="str">
        <f t="shared" si="88"/>
        <v>Mid (3K-7K)</v>
      </c>
      <c r="AN1097" t="str">
        <f t="shared" si="89"/>
        <v>Normal</v>
      </c>
    </row>
    <row r="1098" spans="1:40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 t="shared" si="85"/>
        <v>0</v>
      </c>
      <c r="AK1098" t="str">
        <f t="shared" si="86"/>
        <v>35-44</v>
      </c>
      <c r="AL1098" t="str">
        <f t="shared" si="87"/>
        <v>10+ yrs (Veteran)</v>
      </c>
      <c r="AM1098" t="str">
        <f t="shared" si="88"/>
        <v>Very High (12K+)</v>
      </c>
      <c r="AN1098" t="str">
        <f t="shared" si="89"/>
        <v>Normal</v>
      </c>
    </row>
    <row r="1099" spans="1:40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 t="shared" si="85"/>
        <v>0</v>
      </c>
      <c r="AK1099" t="str">
        <f t="shared" si="86"/>
        <v>Under 25</v>
      </c>
      <c r="AL1099" t="str">
        <f t="shared" si="87"/>
        <v>0-1 yrs (New)</v>
      </c>
      <c r="AM1099" t="str">
        <f t="shared" si="88"/>
        <v>Low (&lt;3K)</v>
      </c>
      <c r="AN1099" t="str">
        <f t="shared" si="89"/>
        <v>Normal</v>
      </c>
    </row>
    <row r="1100" spans="1:40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 t="shared" si="85"/>
        <v>0</v>
      </c>
      <c r="AK1100" t="str">
        <f t="shared" si="86"/>
        <v>35-44</v>
      </c>
      <c r="AL1100" t="str">
        <f t="shared" si="87"/>
        <v>2-4 yrs (Mid)</v>
      </c>
      <c r="AM1100" t="str">
        <f t="shared" si="88"/>
        <v>Mid (3K-7K)</v>
      </c>
      <c r="AN1100" t="str">
        <f t="shared" si="89"/>
        <v>Normal</v>
      </c>
    </row>
    <row r="1101" spans="1:40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 t="shared" si="85"/>
        <v>0</v>
      </c>
      <c r="AK1101" t="str">
        <f t="shared" si="86"/>
        <v>45-54</v>
      </c>
      <c r="AL1101" t="str">
        <f t="shared" si="87"/>
        <v>10+ yrs (Veteran)</v>
      </c>
      <c r="AM1101" t="str">
        <f t="shared" si="88"/>
        <v>High (7K-12K)</v>
      </c>
      <c r="AN1101" t="str">
        <f t="shared" si="89"/>
        <v>Normal</v>
      </c>
    </row>
    <row r="1102" spans="1:40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 t="shared" si="85"/>
        <v>0</v>
      </c>
      <c r="AK1102" t="str">
        <f t="shared" si="86"/>
        <v>35-44</v>
      </c>
      <c r="AL1102" t="str">
        <f t="shared" si="87"/>
        <v>5-9 yrs (Senior)</v>
      </c>
      <c r="AM1102" t="str">
        <f t="shared" si="88"/>
        <v>Low (&lt;3K)</v>
      </c>
      <c r="AN1102" t="str">
        <f t="shared" si="89"/>
        <v>Normal</v>
      </c>
    </row>
    <row r="1103" spans="1:40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 t="shared" si="85"/>
        <v>0</v>
      </c>
      <c r="AK1103" t="str">
        <f t="shared" si="86"/>
        <v>25-34</v>
      </c>
      <c r="AL1103" t="str">
        <f t="shared" si="87"/>
        <v>5-9 yrs (Senior)</v>
      </c>
      <c r="AM1103" t="str">
        <f t="shared" si="88"/>
        <v>Mid (3K-7K)</v>
      </c>
      <c r="AN1103" t="str">
        <f t="shared" si="89"/>
        <v>Normal</v>
      </c>
    </row>
    <row r="1104" spans="1:40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 t="shared" si="85"/>
        <v>0</v>
      </c>
      <c r="AK1104" t="str">
        <f t="shared" si="86"/>
        <v>35-44</v>
      </c>
      <c r="AL1104" t="str">
        <f t="shared" si="87"/>
        <v>2-4 yrs (Mid)</v>
      </c>
      <c r="AM1104" t="str">
        <f t="shared" si="88"/>
        <v>Low (&lt;3K)</v>
      </c>
      <c r="AN1104" t="str">
        <f t="shared" si="89"/>
        <v>Normal</v>
      </c>
    </row>
    <row r="1105" spans="1:40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 t="shared" si="85"/>
        <v>0</v>
      </c>
      <c r="AK1105" t="str">
        <f t="shared" si="86"/>
        <v>45-54</v>
      </c>
      <c r="AL1105" t="str">
        <f t="shared" si="87"/>
        <v>5-9 yrs (Senior)</v>
      </c>
      <c r="AM1105" t="str">
        <f t="shared" si="88"/>
        <v>Mid (3K-7K)</v>
      </c>
      <c r="AN1105" t="str">
        <f t="shared" si="89"/>
        <v>Normal</v>
      </c>
    </row>
    <row r="1106" spans="1:40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 t="shared" si="85"/>
        <v>0</v>
      </c>
      <c r="AK1106" t="str">
        <f t="shared" si="86"/>
        <v>25-34</v>
      </c>
      <c r="AL1106" t="str">
        <f t="shared" si="87"/>
        <v>0-1 yrs (New)</v>
      </c>
      <c r="AM1106" t="str">
        <f t="shared" si="88"/>
        <v>Low (&lt;3K)</v>
      </c>
      <c r="AN1106" t="str">
        <f t="shared" si="89"/>
        <v>Normal</v>
      </c>
    </row>
    <row r="1107" spans="1:40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 t="shared" si="85"/>
        <v>0</v>
      </c>
      <c r="AK1107" t="str">
        <f t="shared" si="86"/>
        <v>25-34</v>
      </c>
      <c r="AL1107" t="str">
        <f t="shared" si="87"/>
        <v>2-4 yrs (Mid)</v>
      </c>
      <c r="AM1107" t="str">
        <f t="shared" si="88"/>
        <v>Mid (3K-7K)</v>
      </c>
      <c r="AN1107" t="str">
        <f t="shared" si="89"/>
        <v>Normal</v>
      </c>
    </row>
    <row r="1108" spans="1:40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 t="shared" si="85"/>
        <v>1</v>
      </c>
      <c r="AK1108" t="str">
        <f t="shared" si="86"/>
        <v>25-34</v>
      </c>
      <c r="AL1108" t="str">
        <f t="shared" si="87"/>
        <v>10+ yrs (Veteran)</v>
      </c>
      <c r="AM1108" t="str">
        <f t="shared" si="88"/>
        <v>High (7K-12K)</v>
      </c>
      <c r="AN1108" t="str">
        <f t="shared" si="89"/>
        <v>Normal</v>
      </c>
    </row>
    <row r="1109" spans="1:40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 t="shared" si="85"/>
        <v>0</v>
      </c>
      <c r="AK1109" t="str">
        <f t="shared" si="86"/>
        <v>35-44</v>
      </c>
      <c r="AL1109" t="str">
        <f t="shared" si="87"/>
        <v>5-9 yrs (Senior)</v>
      </c>
      <c r="AM1109" t="str">
        <f t="shared" si="88"/>
        <v>Mid (3K-7K)</v>
      </c>
      <c r="AN1109" t="str">
        <f t="shared" si="89"/>
        <v>Normal</v>
      </c>
    </row>
    <row r="1110" spans="1:40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 t="shared" si="85"/>
        <v>0</v>
      </c>
      <c r="AK1110" t="str">
        <f t="shared" si="86"/>
        <v>35-44</v>
      </c>
      <c r="AL1110" t="str">
        <f t="shared" si="87"/>
        <v>2-4 yrs (Mid)</v>
      </c>
      <c r="AM1110" t="str">
        <f t="shared" si="88"/>
        <v>Low (&lt;3K)</v>
      </c>
      <c r="AN1110" t="str">
        <f t="shared" si="89"/>
        <v>Normal</v>
      </c>
    </row>
    <row r="1111" spans="1:40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 t="shared" si="85"/>
        <v>0</v>
      </c>
      <c r="AK1111" t="str">
        <f t="shared" si="86"/>
        <v>25-34</v>
      </c>
      <c r="AL1111" t="str">
        <f t="shared" si="87"/>
        <v>2-4 yrs (Mid)</v>
      </c>
      <c r="AM1111" t="str">
        <f t="shared" si="88"/>
        <v>High (7K-12K)</v>
      </c>
      <c r="AN1111" t="str">
        <f t="shared" si="89"/>
        <v>Normal</v>
      </c>
    </row>
    <row r="1112" spans="1:40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 t="shared" si="85"/>
        <v>1</v>
      </c>
      <c r="AK1112" t="str">
        <f t="shared" si="86"/>
        <v>35-44</v>
      </c>
      <c r="AL1112" t="str">
        <f t="shared" si="87"/>
        <v>0-1 yrs (New)</v>
      </c>
      <c r="AM1112" t="str">
        <f t="shared" si="88"/>
        <v>Low (&lt;3K)</v>
      </c>
      <c r="AN1112" t="str">
        <f t="shared" si="89"/>
        <v>High Risk</v>
      </c>
    </row>
    <row r="1113" spans="1:40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 t="shared" si="85"/>
        <v>1</v>
      </c>
      <c r="AK1113" t="str">
        <f t="shared" si="86"/>
        <v>45-54</v>
      </c>
      <c r="AL1113" t="str">
        <f t="shared" si="87"/>
        <v>10+ yrs (Veteran)</v>
      </c>
      <c r="AM1113" t="str">
        <f t="shared" si="88"/>
        <v>High (7K-12K)</v>
      </c>
      <c r="AN1113" t="str">
        <f t="shared" si="89"/>
        <v>Normal</v>
      </c>
    </row>
    <row r="1114" spans="1:40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 t="shared" si="85"/>
        <v>1</v>
      </c>
      <c r="AK1114" t="str">
        <f t="shared" si="86"/>
        <v>35-44</v>
      </c>
      <c r="AL1114" t="str">
        <f t="shared" si="87"/>
        <v>5-9 yrs (Senior)</v>
      </c>
      <c r="AM1114" t="str">
        <f t="shared" si="88"/>
        <v>Mid (3K-7K)</v>
      </c>
      <c r="AN1114" t="str">
        <f t="shared" si="89"/>
        <v>Normal</v>
      </c>
    </row>
    <row r="1115" spans="1:40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 t="shared" si="85"/>
        <v>0</v>
      </c>
      <c r="AK1115" t="str">
        <f t="shared" si="86"/>
        <v>25-34</v>
      </c>
      <c r="AL1115" t="str">
        <f t="shared" si="87"/>
        <v>5-9 yrs (Senior)</v>
      </c>
      <c r="AM1115" t="str">
        <f t="shared" si="88"/>
        <v>Mid (3K-7K)</v>
      </c>
      <c r="AN1115" t="str">
        <f t="shared" si="89"/>
        <v>Normal</v>
      </c>
    </row>
    <row r="1116" spans="1:40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 t="shared" si="85"/>
        <v>0</v>
      </c>
      <c r="AK1116" t="str">
        <f t="shared" si="86"/>
        <v>45-54</v>
      </c>
      <c r="AL1116" t="str">
        <f t="shared" si="87"/>
        <v>5-9 yrs (Senior)</v>
      </c>
      <c r="AM1116" t="str">
        <f t="shared" si="88"/>
        <v>Low (&lt;3K)</v>
      </c>
      <c r="AN1116" t="str">
        <f t="shared" si="89"/>
        <v>Normal</v>
      </c>
    </row>
    <row r="1117" spans="1:40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 t="shared" si="85"/>
        <v>0</v>
      </c>
      <c r="AK1117" t="str">
        <f t="shared" si="86"/>
        <v>25-34</v>
      </c>
      <c r="AL1117" t="str">
        <f t="shared" si="87"/>
        <v>0-1 yrs (New)</v>
      </c>
      <c r="AM1117" t="str">
        <f t="shared" si="88"/>
        <v>Low (&lt;3K)</v>
      </c>
      <c r="AN1117" t="str">
        <f t="shared" si="89"/>
        <v>Normal</v>
      </c>
    </row>
    <row r="1118" spans="1:40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 t="shared" si="85"/>
        <v>0</v>
      </c>
      <c r="AK1118" t="str">
        <f t="shared" si="86"/>
        <v>55+</v>
      </c>
      <c r="AL1118" t="str">
        <f t="shared" si="87"/>
        <v>10+ yrs (Veteran)</v>
      </c>
      <c r="AM1118" t="str">
        <f t="shared" si="88"/>
        <v>Very High (12K+)</v>
      </c>
      <c r="AN1118" t="str">
        <f t="shared" si="89"/>
        <v>Normal</v>
      </c>
    </row>
    <row r="1119" spans="1:40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 t="shared" si="85"/>
        <v>0</v>
      </c>
      <c r="AK1119" t="str">
        <f t="shared" si="86"/>
        <v>25-34</v>
      </c>
      <c r="AL1119" t="str">
        <f t="shared" si="87"/>
        <v>2-4 yrs (Mid)</v>
      </c>
      <c r="AM1119" t="str">
        <f t="shared" si="88"/>
        <v>Mid (3K-7K)</v>
      </c>
      <c r="AN1119" t="str">
        <f t="shared" si="89"/>
        <v>Normal</v>
      </c>
    </row>
    <row r="1120" spans="1:40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 t="shared" si="85"/>
        <v>0</v>
      </c>
      <c r="AK1120" t="str">
        <f t="shared" si="86"/>
        <v>25-34</v>
      </c>
      <c r="AL1120" t="str">
        <f t="shared" si="87"/>
        <v>0-1 yrs (New)</v>
      </c>
      <c r="AM1120" t="str">
        <f t="shared" si="88"/>
        <v>Low (&lt;3K)</v>
      </c>
      <c r="AN1120" t="str">
        <f t="shared" si="89"/>
        <v>Normal</v>
      </c>
    </row>
    <row r="1121" spans="1:40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 t="shared" si="85"/>
        <v>0</v>
      </c>
      <c r="AK1121" t="str">
        <f t="shared" si="86"/>
        <v>35-44</v>
      </c>
      <c r="AL1121" t="str">
        <f t="shared" si="87"/>
        <v>5-9 yrs (Senior)</v>
      </c>
      <c r="AM1121" t="str">
        <f t="shared" si="88"/>
        <v>High (7K-12K)</v>
      </c>
      <c r="AN1121" t="str">
        <f t="shared" si="89"/>
        <v>Normal</v>
      </c>
    </row>
    <row r="1122" spans="1:40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 t="shared" si="85"/>
        <v>0</v>
      </c>
      <c r="AK1122" t="str">
        <f t="shared" si="86"/>
        <v>35-44</v>
      </c>
      <c r="AL1122" t="str">
        <f t="shared" si="87"/>
        <v>2-4 yrs (Mid)</v>
      </c>
      <c r="AM1122" t="str">
        <f t="shared" si="88"/>
        <v>Mid (3K-7K)</v>
      </c>
      <c r="AN1122" t="str">
        <f t="shared" si="89"/>
        <v>Normal</v>
      </c>
    </row>
    <row r="1123" spans="1:40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 t="shared" si="85"/>
        <v>0</v>
      </c>
      <c r="AK1123" t="str">
        <f t="shared" si="86"/>
        <v>35-44</v>
      </c>
      <c r="AL1123" t="str">
        <f t="shared" si="87"/>
        <v>0-1 yrs (New)</v>
      </c>
      <c r="AM1123" t="str">
        <f t="shared" si="88"/>
        <v>Mid (3K-7K)</v>
      </c>
      <c r="AN1123" t="str">
        <f t="shared" si="89"/>
        <v>Normal</v>
      </c>
    </row>
    <row r="1124" spans="1:40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 t="shared" si="85"/>
        <v>0</v>
      </c>
      <c r="AK1124" t="str">
        <f t="shared" si="86"/>
        <v>25-34</v>
      </c>
      <c r="AL1124" t="str">
        <f t="shared" si="87"/>
        <v>10+ yrs (Veteran)</v>
      </c>
      <c r="AM1124" t="str">
        <f t="shared" si="88"/>
        <v>Mid (3K-7K)</v>
      </c>
      <c r="AN1124" t="str">
        <f t="shared" si="89"/>
        <v>High Risk</v>
      </c>
    </row>
    <row r="1125" spans="1:40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 t="shared" si="85"/>
        <v>0</v>
      </c>
      <c r="AK1125" t="str">
        <f t="shared" si="86"/>
        <v>35-44</v>
      </c>
      <c r="AL1125" t="str">
        <f t="shared" si="87"/>
        <v>5-9 yrs (Senior)</v>
      </c>
      <c r="AM1125" t="str">
        <f t="shared" si="88"/>
        <v>Mid (3K-7K)</v>
      </c>
      <c r="AN1125" t="str">
        <f t="shared" si="89"/>
        <v>Normal</v>
      </c>
    </row>
    <row r="1126" spans="1:40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 t="shared" si="85"/>
        <v>0</v>
      </c>
      <c r="AK1126" t="str">
        <f t="shared" si="86"/>
        <v>35-44</v>
      </c>
      <c r="AL1126" t="str">
        <f t="shared" si="87"/>
        <v>5-9 yrs (Senior)</v>
      </c>
      <c r="AM1126" t="str">
        <f t="shared" si="88"/>
        <v>High (7K-12K)</v>
      </c>
      <c r="AN1126" t="str">
        <f t="shared" si="89"/>
        <v>Normal</v>
      </c>
    </row>
    <row r="1127" spans="1:40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 t="shared" si="85"/>
        <v>0</v>
      </c>
      <c r="AK1127" t="str">
        <f t="shared" si="86"/>
        <v>25-34</v>
      </c>
      <c r="AL1127" t="str">
        <f t="shared" si="87"/>
        <v>5-9 yrs (Senior)</v>
      </c>
      <c r="AM1127" t="str">
        <f t="shared" si="88"/>
        <v>High (7K-12K)</v>
      </c>
      <c r="AN1127" t="str">
        <f t="shared" si="89"/>
        <v>Normal</v>
      </c>
    </row>
    <row r="1128" spans="1:40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 t="shared" si="85"/>
        <v>0</v>
      </c>
      <c r="AK1128" t="str">
        <f t="shared" si="86"/>
        <v>45-54</v>
      </c>
      <c r="AL1128" t="str">
        <f t="shared" si="87"/>
        <v>0-1 yrs (New)</v>
      </c>
      <c r="AM1128" t="str">
        <f t="shared" si="88"/>
        <v>Very High (12K+)</v>
      </c>
      <c r="AN1128" t="str">
        <f t="shared" si="89"/>
        <v>Normal</v>
      </c>
    </row>
    <row r="1129" spans="1:40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 t="shared" si="85"/>
        <v>0</v>
      </c>
      <c r="AK1129" t="str">
        <f t="shared" si="86"/>
        <v>Under 25</v>
      </c>
      <c r="AL1129" t="str">
        <f t="shared" si="87"/>
        <v>2-4 yrs (Mid)</v>
      </c>
      <c r="AM1129" t="str">
        <f t="shared" si="88"/>
        <v>Low (&lt;3K)</v>
      </c>
      <c r="AN1129" t="str">
        <f t="shared" si="89"/>
        <v>Normal</v>
      </c>
    </row>
    <row r="1130" spans="1:40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 t="shared" si="85"/>
        <v>0</v>
      </c>
      <c r="AK1130" t="str">
        <f t="shared" si="86"/>
        <v>35-44</v>
      </c>
      <c r="AL1130" t="str">
        <f t="shared" si="87"/>
        <v>2-4 yrs (Mid)</v>
      </c>
      <c r="AM1130" t="str">
        <f t="shared" si="88"/>
        <v>Mid (3K-7K)</v>
      </c>
      <c r="AN1130" t="str">
        <f t="shared" si="89"/>
        <v>High Risk</v>
      </c>
    </row>
    <row r="1131" spans="1:40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 t="shared" si="85"/>
        <v>0</v>
      </c>
      <c r="AK1131" t="str">
        <f t="shared" si="86"/>
        <v>35-44</v>
      </c>
      <c r="AL1131" t="str">
        <f t="shared" si="87"/>
        <v>0-1 yrs (New)</v>
      </c>
      <c r="AM1131" t="str">
        <f t="shared" si="88"/>
        <v>Very High (12K+)</v>
      </c>
      <c r="AN1131" t="str">
        <f t="shared" si="89"/>
        <v>Normal</v>
      </c>
    </row>
    <row r="1132" spans="1:40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 t="shared" si="85"/>
        <v>0</v>
      </c>
      <c r="AK1132" t="str">
        <f t="shared" si="86"/>
        <v>35-44</v>
      </c>
      <c r="AL1132" t="str">
        <f t="shared" si="87"/>
        <v>10+ yrs (Veteran)</v>
      </c>
      <c r="AM1132" t="str">
        <f t="shared" si="88"/>
        <v>Mid (3K-7K)</v>
      </c>
      <c r="AN1132" t="str">
        <f t="shared" si="89"/>
        <v>Normal</v>
      </c>
    </row>
    <row r="1133" spans="1:40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 t="shared" si="85"/>
        <v>0</v>
      </c>
      <c r="AK1133" t="str">
        <f t="shared" si="86"/>
        <v>25-34</v>
      </c>
      <c r="AL1133" t="str">
        <f t="shared" si="87"/>
        <v>5-9 yrs (Senior)</v>
      </c>
      <c r="AM1133" t="str">
        <f t="shared" si="88"/>
        <v>Mid (3K-7K)</v>
      </c>
      <c r="AN1133" t="str">
        <f t="shared" si="89"/>
        <v>Normal</v>
      </c>
    </row>
    <row r="1134" spans="1:40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 t="shared" si="85"/>
        <v>0</v>
      </c>
      <c r="AK1134" t="str">
        <f t="shared" si="86"/>
        <v>35-44</v>
      </c>
      <c r="AL1134" t="str">
        <f t="shared" si="87"/>
        <v>5-9 yrs (Senior)</v>
      </c>
      <c r="AM1134" t="str">
        <f t="shared" si="88"/>
        <v>Mid (3K-7K)</v>
      </c>
      <c r="AN1134" t="str">
        <f t="shared" si="89"/>
        <v>Normal</v>
      </c>
    </row>
    <row r="1135" spans="1:40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 t="shared" si="85"/>
        <v>0</v>
      </c>
      <c r="AK1135" t="str">
        <f t="shared" si="86"/>
        <v>35-44</v>
      </c>
      <c r="AL1135" t="str">
        <f t="shared" si="87"/>
        <v>5-9 yrs (Senior)</v>
      </c>
      <c r="AM1135" t="str">
        <f t="shared" si="88"/>
        <v>Mid (3K-7K)</v>
      </c>
      <c r="AN1135" t="str">
        <f t="shared" si="89"/>
        <v>Normal</v>
      </c>
    </row>
    <row r="1136" spans="1:40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 t="shared" si="85"/>
        <v>0</v>
      </c>
      <c r="AK1136" t="str">
        <f t="shared" si="86"/>
        <v>35-44</v>
      </c>
      <c r="AL1136" t="str">
        <f t="shared" si="87"/>
        <v>0-1 yrs (New)</v>
      </c>
      <c r="AM1136" t="str">
        <f t="shared" si="88"/>
        <v>Low (&lt;3K)</v>
      </c>
      <c r="AN1136" t="str">
        <f t="shared" si="89"/>
        <v>Normal</v>
      </c>
    </row>
    <row r="1137" spans="1:40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 t="shared" si="85"/>
        <v>0</v>
      </c>
      <c r="AK1137" t="str">
        <f t="shared" si="86"/>
        <v>45-54</v>
      </c>
      <c r="AL1137" t="str">
        <f t="shared" si="87"/>
        <v>10+ yrs (Veteran)</v>
      </c>
      <c r="AM1137" t="str">
        <f t="shared" si="88"/>
        <v>Very High (12K+)</v>
      </c>
      <c r="AN1137" t="str">
        <f t="shared" si="89"/>
        <v>Normal</v>
      </c>
    </row>
    <row r="1138" spans="1:40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 t="shared" si="85"/>
        <v>1</v>
      </c>
      <c r="AK1138" t="str">
        <f t="shared" si="86"/>
        <v>25-34</v>
      </c>
      <c r="AL1138" t="str">
        <f t="shared" si="87"/>
        <v>0-1 yrs (New)</v>
      </c>
      <c r="AM1138" t="str">
        <f t="shared" si="88"/>
        <v>Low (&lt;3K)</v>
      </c>
      <c r="AN1138" t="str">
        <f t="shared" si="89"/>
        <v>High Risk</v>
      </c>
    </row>
    <row r="1139" spans="1:40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 t="shared" si="85"/>
        <v>0</v>
      </c>
      <c r="AK1139" t="str">
        <f t="shared" si="86"/>
        <v>Under 25</v>
      </c>
      <c r="AL1139" t="str">
        <f t="shared" si="87"/>
        <v>2-4 yrs (Mid)</v>
      </c>
      <c r="AM1139" t="str">
        <f t="shared" si="88"/>
        <v>Low (&lt;3K)</v>
      </c>
      <c r="AN1139" t="str">
        <f t="shared" si="89"/>
        <v>Normal</v>
      </c>
    </row>
    <row r="1140" spans="1:40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 t="shared" si="85"/>
        <v>0</v>
      </c>
      <c r="AK1140" t="str">
        <f t="shared" si="86"/>
        <v>45-54</v>
      </c>
      <c r="AL1140" t="str">
        <f t="shared" si="87"/>
        <v>10+ yrs (Veteran)</v>
      </c>
      <c r="AM1140" t="str">
        <f t="shared" si="88"/>
        <v>High (7K-12K)</v>
      </c>
      <c r="AN1140" t="str">
        <f t="shared" si="89"/>
        <v>Normal</v>
      </c>
    </row>
    <row r="1141" spans="1:40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 t="shared" si="85"/>
        <v>0</v>
      </c>
      <c r="AK1141" t="str">
        <f t="shared" si="86"/>
        <v>25-34</v>
      </c>
      <c r="AL1141" t="str">
        <f t="shared" si="87"/>
        <v>2-4 yrs (Mid)</v>
      </c>
      <c r="AM1141" t="str">
        <f t="shared" si="88"/>
        <v>Mid (3K-7K)</v>
      </c>
      <c r="AN1141" t="str">
        <f t="shared" si="89"/>
        <v>Normal</v>
      </c>
    </row>
    <row r="1142" spans="1:40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 t="shared" si="85"/>
        <v>0</v>
      </c>
      <c r="AK1142" t="str">
        <f t="shared" si="86"/>
        <v>35-44</v>
      </c>
      <c r="AL1142" t="str">
        <f t="shared" si="87"/>
        <v>10+ yrs (Veteran)</v>
      </c>
      <c r="AM1142" t="str">
        <f t="shared" si="88"/>
        <v>Very High (12K+)</v>
      </c>
      <c r="AN1142" t="str">
        <f t="shared" si="89"/>
        <v>Normal</v>
      </c>
    </row>
    <row r="1143" spans="1:40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 t="shared" si="85"/>
        <v>0</v>
      </c>
      <c r="AK1143" t="str">
        <f t="shared" si="86"/>
        <v>25-34</v>
      </c>
      <c r="AL1143" t="str">
        <f t="shared" si="87"/>
        <v>5-9 yrs (Senior)</v>
      </c>
      <c r="AM1143" t="str">
        <f t="shared" si="88"/>
        <v>Low (&lt;3K)</v>
      </c>
      <c r="AN1143" t="str">
        <f t="shared" si="89"/>
        <v>Normal</v>
      </c>
    </row>
    <row r="1144" spans="1:40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 t="shared" si="85"/>
        <v>0</v>
      </c>
      <c r="AK1144" t="str">
        <f t="shared" si="86"/>
        <v>45-54</v>
      </c>
      <c r="AL1144" t="str">
        <f t="shared" si="87"/>
        <v>10+ yrs (Veteran)</v>
      </c>
      <c r="AM1144" t="str">
        <f t="shared" si="88"/>
        <v>Mid (3K-7K)</v>
      </c>
      <c r="AN1144" t="str">
        <f t="shared" si="89"/>
        <v>High Risk</v>
      </c>
    </row>
    <row r="1145" spans="1:40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 t="shared" si="85"/>
        <v>0</v>
      </c>
      <c r="AK1145" t="str">
        <f t="shared" si="86"/>
        <v>45-54</v>
      </c>
      <c r="AL1145" t="str">
        <f t="shared" si="87"/>
        <v>10+ yrs (Veteran)</v>
      </c>
      <c r="AM1145" t="str">
        <f t="shared" si="88"/>
        <v>Mid (3K-7K)</v>
      </c>
      <c r="AN1145" t="str">
        <f t="shared" si="89"/>
        <v>Normal</v>
      </c>
    </row>
    <row r="1146" spans="1:40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 t="shared" si="85"/>
        <v>0</v>
      </c>
      <c r="AK1146" t="str">
        <f t="shared" si="86"/>
        <v>25-34</v>
      </c>
      <c r="AL1146" t="str">
        <f t="shared" si="87"/>
        <v>5-9 yrs (Senior)</v>
      </c>
      <c r="AM1146" t="str">
        <f t="shared" si="88"/>
        <v>Mid (3K-7K)</v>
      </c>
      <c r="AN1146" t="str">
        <f t="shared" si="89"/>
        <v>Normal</v>
      </c>
    </row>
    <row r="1147" spans="1:40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 t="shared" si="85"/>
        <v>0</v>
      </c>
      <c r="AK1147" t="str">
        <f t="shared" si="86"/>
        <v>35-44</v>
      </c>
      <c r="AL1147" t="str">
        <f t="shared" si="87"/>
        <v>2-4 yrs (Mid)</v>
      </c>
      <c r="AM1147" t="str">
        <f t="shared" si="88"/>
        <v>Mid (3K-7K)</v>
      </c>
      <c r="AN1147" t="str">
        <f t="shared" si="89"/>
        <v>Normal</v>
      </c>
    </row>
    <row r="1148" spans="1:40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 t="shared" si="85"/>
        <v>0</v>
      </c>
      <c r="AK1148" t="str">
        <f t="shared" si="86"/>
        <v>25-34</v>
      </c>
      <c r="AL1148" t="str">
        <f t="shared" si="87"/>
        <v>5-9 yrs (Senior)</v>
      </c>
      <c r="AM1148" t="str">
        <f t="shared" si="88"/>
        <v>Mid (3K-7K)</v>
      </c>
      <c r="AN1148" t="str">
        <f t="shared" si="89"/>
        <v>Normal</v>
      </c>
    </row>
    <row r="1149" spans="1:40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 t="shared" si="85"/>
        <v>0</v>
      </c>
      <c r="AK1149" t="str">
        <f t="shared" si="86"/>
        <v>45-54</v>
      </c>
      <c r="AL1149" t="str">
        <f t="shared" si="87"/>
        <v>5-9 yrs (Senior)</v>
      </c>
      <c r="AM1149" t="str">
        <f t="shared" si="88"/>
        <v>Mid (3K-7K)</v>
      </c>
      <c r="AN1149" t="str">
        <f t="shared" si="89"/>
        <v>Normal</v>
      </c>
    </row>
    <row r="1150" spans="1:40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 t="shared" si="85"/>
        <v>0</v>
      </c>
      <c r="AK1150" t="str">
        <f t="shared" si="86"/>
        <v>35-44</v>
      </c>
      <c r="AL1150" t="str">
        <f t="shared" si="87"/>
        <v>5-9 yrs (Senior)</v>
      </c>
      <c r="AM1150" t="str">
        <f t="shared" si="88"/>
        <v>Mid (3K-7K)</v>
      </c>
      <c r="AN1150" t="str">
        <f t="shared" si="89"/>
        <v>Normal</v>
      </c>
    </row>
    <row r="1151" spans="1:40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 t="shared" si="85"/>
        <v>0</v>
      </c>
      <c r="AK1151" t="str">
        <f t="shared" si="86"/>
        <v>25-34</v>
      </c>
      <c r="AL1151" t="str">
        <f t="shared" si="87"/>
        <v>5-9 yrs (Senior)</v>
      </c>
      <c r="AM1151" t="str">
        <f t="shared" si="88"/>
        <v>Mid (3K-7K)</v>
      </c>
      <c r="AN1151" t="str">
        <f t="shared" si="89"/>
        <v>Normal</v>
      </c>
    </row>
    <row r="1152" spans="1:40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 t="shared" si="85"/>
        <v>0</v>
      </c>
      <c r="AK1152" t="str">
        <f t="shared" si="86"/>
        <v>35-44</v>
      </c>
      <c r="AL1152" t="str">
        <f t="shared" si="87"/>
        <v>10+ yrs (Veteran)</v>
      </c>
      <c r="AM1152" t="str">
        <f t="shared" si="88"/>
        <v>Mid (3K-7K)</v>
      </c>
      <c r="AN1152" t="str">
        <f t="shared" si="89"/>
        <v>Normal</v>
      </c>
    </row>
    <row r="1153" spans="1:40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 t="shared" si="85"/>
        <v>0</v>
      </c>
      <c r="AK1153" t="str">
        <f t="shared" si="86"/>
        <v>25-34</v>
      </c>
      <c r="AL1153" t="str">
        <f t="shared" si="87"/>
        <v>5-9 yrs (Senior)</v>
      </c>
      <c r="AM1153" t="str">
        <f t="shared" si="88"/>
        <v>Mid (3K-7K)</v>
      </c>
      <c r="AN1153" t="str">
        <f t="shared" si="89"/>
        <v>Normal</v>
      </c>
    </row>
    <row r="1154" spans="1:40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 t="shared" si="85"/>
        <v>0</v>
      </c>
      <c r="AK1154" t="str">
        <f t="shared" si="86"/>
        <v>Under 25</v>
      </c>
      <c r="AL1154" t="str">
        <f t="shared" si="87"/>
        <v>2-4 yrs (Mid)</v>
      </c>
      <c r="AM1154" t="str">
        <f t="shared" si="88"/>
        <v>Mid (3K-7K)</v>
      </c>
      <c r="AN1154" t="str">
        <f t="shared" si="89"/>
        <v>Normal</v>
      </c>
    </row>
    <row r="1155" spans="1:40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 t="shared" ref="AJ1155:AJ1218" si="90">IF(B1155="Yes", 1, 0)</f>
        <v>1</v>
      </c>
      <c r="AK1155" t="str">
        <f t="shared" ref="AK1155:AK1218" si="91">IF(A1155&lt;25, "Under 25", IF(A1155&lt;35, "25-34", IF(A1155&lt;45, "35-44", IF(A1155&lt;55, "45-54", "55+"))))</f>
        <v>Under 25</v>
      </c>
      <c r="AL1155" t="str">
        <f t="shared" ref="AL1155:AL1218" si="92">IF(AF1155&lt;2, "0-1 yrs (New)", IF(AF1155&lt;5, "2-4 yrs (Mid)", IF(AF1155&lt;10, "5-9 yrs (Senior)", "10+ yrs (Veteran)")))</f>
        <v>0-1 yrs (New)</v>
      </c>
      <c r="AM1155" t="str">
        <f t="shared" ref="AM1155:AM1218" si="93">IF(S1155&lt;3000, "Low (&lt;3K)", IF(S1155&lt;7000, "Mid (3K-7K)", IF(S1155&lt;12000, "High (7K-12K)", "Very High (12K+)")))</f>
        <v>Low (&lt;3K)</v>
      </c>
      <c r="AN1155" t="str">
        <f t="shared" ref="AN1155:AN1218" si="94">IF(AND(W1155="Yes", Q1155&lt;=2), "High Risk", "Normal")</f>
        <v>Normal</v>
      </c>
    </row>
    <row r="1156" spans="1:40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 t="shared" si="90"/>
        <v>0</v>
      </c>
      <c r="AK1156" t="str">
        <f t="shared" si="91"/>
        <v>45-54</v>
      </c>
      <c r="AL1156" t="str">
        <f t="shared" si="92"/>
        <v>5-9 yrs (Senior)</v>
      </c>
      <c r="AM1156" t="str">
        <f t="shared" si="93"/>
        <v>Very High (12K+)</v>
      </c>
      <c r="AN1156" t="str">
        <f t="shared" si="94"/>
        <v>Normal</v>
      </c>
    </row>
    <row r="1157" spans="1:40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 t="shared" si="90"/>
        <v>0</v>
      </c>
      <c r="AK1157" t="str">
        <f t="shared" si="91"/>
        <v>35-44</v>
      </c>
      <c r="AL1157" t="str">
        <f t="shared" si="92"/>
        <v>10+ yrs (Veteran)</v>
      </c>
      <c r="AM1157" t="str">
        <f t="shared" si="93"/>
        <v>Mid (3K-7K)</v>
      </c>
      <c r="AN1157" t="str">
        <f t="shared" si="94"/>
        <v>Normal</v>
      </c>
    </row>
    <row r="1158" spans="1:40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 t="shared" si="90"/>
        <v>0</v>
      </c>
      <c r="AK1158" t="str">
        <f t="shared" si="91"/>
        <v>35-44</v>
      </c>
      <c r="AL1158" t="str">
        <f t="shared" si="92"/>
        <v>10+ yrs (Veteran)</v>
      </c>
      <c r="AM1158" t="str">
        <f t="shared" si="93"/>
        <v>High (7K-12K)</v>
      </c>
      <c r="AN1158" t="str">
        <f t="shared" si="94"/>
        <v>Normal</v>
      </c>
    </row>
    <row r="1159" spans="1:40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 t="shared" si="90"/>
        <v>0</v>
      </c>
      <c r="AK1159" t="str">
        <f t="shared" si="91"/>
        <v>35-44</v>
      </c>
      <c r="AL1159" t="str">
        <f t="shared" si="92"/>
        <v>10+ yrs (Veteran)</v>
      </c>
      <c r="AM1159" t="str">
        <f t="shared" si="93"/>
        <v>Mid (3K-7K)</v>
      </c>
      <c r="AN1159" t="str">
        <f t="shared" si="94"/>
        <v>Normal</v>
      </c>
    </row>
    <row r="1160" spans="1:40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 t="shared" si="90"/>
        <v>0</v>
      </c>
      <c r="AK1160" t="str">
        <f t="shared" si="91"/>
        <v>35-44</v>
      </c>
      <c r="AL1160" t="str">
        <f t="shared" si="92"/>
        <v>2-4 yrs (Mid)</v>
      </c>
      <c r="AM1160" t="str">
        <f t="shared" si="93"/>
        <v>Mid (3K-7K)</v>
      </c>
      <c r="AN1160" t="str">
        <f t="shared" si="94"/>
        <v>Normal</v>
      </c>
    </row>
    <row r="1161" spans="1:40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 t="shared" si="90"/>
        <v>0</v>
      </c>
      <c r="AK1161" t="str">
        <f t="shared" si="91"/>
        <v>35-44</v>
      </c>
      <c r="AL1161" t="str">
        <f t="shared" si="92"/>
        <v>5-9 yrs (Senior)</v>
      </c>
      <c r="AM1161" t="str">
        <f t="shared" si="93"/>
        <v>Mid (3K-7K)</v>
      </c>
      <c r="AN1161" t="str">
        <f t="shared" si="94"/>
        <v>Normal</v>
      </c>
    </row>
    <row r="1162" spans="1:40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 t="shared" si="90"/>
        <v>0</v>
      </c>
      <c r="AK1162" t="str">
        <f t="shared" si="91"/>
        <v>45-54</v>
      </c>
      <c r="AL1162" t="str">
        <f t="shared" si="92"/>
        <v>10+ yrs (Veteran)</v>
      </c>
      <c r="AM1162" t="str">
        <f t="shared" si="93"/>
        <v>Mid (3K-7K)</v>
      </c>
      <c r="AN1162" t="str">
        <f t="shared" si="94"/>
        <v>Normal</v>
      </c>
    </row>
    <row r="1163" spans="1:40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 t="shared" si="90"/>
        <v>0</v>
      </c>
      <c r="AK1163" t="str">
        <f t="shared" si="91"/>
        <v>35-44</v>
      </c>
      <c r="AL1163" t="str">
        <f t="shared" si="92"/>
        <v>5-9 yrs (Senior)</v>
      </c>
      <c r="AM1163" t="str">
        <f t="shared" si="93"/>
        <v>High (7K-12K)</v>
      </c>
      <c r="AN1163" t="str">
        <f t="shared" si="94"/>
        <v>Normal</v>
      </c>
    </row>
    <row r="1164" spans="1:40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 t="shared" si="90"/>
        <v>1</v>
      </c>
      <c r="AK1164" t="str">
        <f t="shared" si="91"/>
        <v>35-44</v>
      </c>
      <c r="AL1164" t="str">
        <f t="shared" si="92"/>
        <v>10+ yrs (Veteran)</v>
      </c>
      <c r="AM1164" t="str">
        <f t="shared" si="93"/>
        <v>High (7K-12K)</v>
      </c>
      <c r="AN1164" t="str">
        <f t="shared" si="94"/>
        <v>Normal</v>
      </c>
    </row>
    <row r="1165" spans="1:40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 t="shared" si="90"/>
        <v>0</v>
      </c>
      <c r="AK1165" t="str">
        <f t="shared" si="91"/>
        <v>35-44</v>
      </c>
      <c r="AL1165" t="str">
        <f t="shared" si="92"/>
        <v>5-9 yrs (Senior)</v>
      </c>
      <c r="AM1165" t="str">
        <f t="shared" si="93"/>
        <v>Mid (3K-7K)</v>
      </c>
      <c r="AN1165" t="str">
        <f t="shared" si="94"/>
        <v>Normal</v>
      </c>
    </row>
    <row r="1166" spans="1:40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 t="shared" si="90"/>
        <v>0</v>
      </c>
      <c r="AK1166" t="str">
        <f t="shared" si="91"/>
        <v>35-44</v>
      </c>
      <c r="AL1166" t="str">
        <f t="shared" si="92"/>
        <v>2-4 yrs (Mid)</v>
      </c>
      <c r="AM1166" t="str">
        <f t="shared" si="93"/>
        <v>High (7K-12K)</v>
      </c>
      <c r="AN1166" t="str">
        <f t="shared" si="94"/>
        <v>Normal</v>
      </c>
    </row>
    <row r="1167" spans="1:40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 t="shared" si="90"/>
        <v>0</v>
      </c>
      <c r="AK1167" t="str">
        <f t="shared" si="91"/>
        <v>35-44</v>
      </c>
      <c r="AL1167" t="str">
        <f t="shared" si="92"/>
        <v>10+ yrs (Veteran)</v>
      </c>
      <c r="AM1167" t="str">
        <f t="shared" si="93"/>
        <v>Mid (3K-7K)</v>
      </c>
      <c r="AN1167" t="str">
        <f t="shared" si="94"/>
        <v>Normal</v>
      </c>
    </row>
    <row r="1168" spans="1:40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 t="shared" si="90"/>
        <v>0</v>
      </c>
      <c r="AK1168" t="str">
        <f t="shared" si="91"/>
        <v>45-54</v>
      </c>
      <c r="AL1168" t="str">
        <f t="shared" si="92"/>
        <v>2-4 yrs (Mid)</v>
      </c>
      <c r="AM1168" t="str">
        <f t="shared" si="93"/>
        <v>Very High (12K+)</v>
      </c>
      <c r="AN1168" t="str">
        <f t="shared" si="94"/>
        <v>Normal</v>
      </c>
    </row>
    <row r="1169" spans="1:40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 t="shared" si="90"/>
        <v>1</v>
      </c>
      <c r="AK1169" t="str">
        <f t="shared" si="91"/>
        <v>35-44</v>
      </c>
      <c r="AL1169" t="str">
        <f t="shared" si="92"/>
        <v>2-4 yrs (Mid)</v>
      </c>
      <c r="AM1169" t="str">
        <f t="shared" si="93"/>
        <v>Mid (3K-7K)</v>
      </c>
      <c r="AN1169" t="str">
        <f t="shared" si="94"/>
        <v>Normal</v>
      </c>
    </row>
    <row r="1170" spans="1:40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 t="shared" si="90"/>
        <v>0</v>
      </c>
      <c r="AK1170" t="str">
        <f t="shared" si="91"/>
        <v>Under 25</v>
      </c>
      <c r="AL1170" t="str">
        <f t="shared" si="92"/>
        <v>5-9 yrs (Senior)</v>
      </c>
      <c r="AM1170" t="str">
        <f t="shared" si="93"/>
        <v>Mid (3K-7K)</v>
      </c>
      <c r="AN1170" t="str">
        <f t="shared" si="94"/>
        <v>Normal</v>
      </c>
    </row>
    <row r="1171" spans="1:40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 t="shared" si="90"/>
        <v>0</v>
      </c>
      <c r="AK1171" t="str">
        <f t="shared" si="91"/>
        <v>25-34</v>
      </c>
      <c r="AL1171" t="str">
        <f t="shared" si="92"/>
        <v>2-4 yrs (Mid)</v>
      </c>
      <c r="AM1171" t="str">
        <f t="shared" si="93"/>
        <v>Mid (3K-7K)</v>
      </c>
      <c r="AN1171" t="str">
        <f t="shared" si="94"/>
        <v>Normal</v>
      </c>
    </row>
    <row r="1172" spans="1:40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 t="shared" si="90"/>
        <v>0</v>
      </c>
      <c r="AK1172" t="str">
        <f t="shared" si="91"/>
        <v>25-34</v>
      </c>
      <c r="AL1172" t="str">
        <f t="shared" si="92"/>
        <v>2-4 yrs (Mid)</v>
      </c>
      <c r="AM1172" t="str">
        <f t="shared" si="93"/>
        <v>Low (&lt;3K)</v>
      </c>
      <c r="AN1172" t="str">
        <f t="shared" si="94"/>
        <v>Normal</v>
      </c>
    </row>
    <row r="1173" spans="1:40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 t="shared" si="90"/>
        <v>1</v>
      </c>
      <c r="AK1173" t="str">
        <f t="shared" si="91"/>
        <v>35-44</v>
      </c>
      <c r="AL1173" t="str">
        <f t="shared" si="92"/>
        <v>2-4 yrs (Mid)</v>
      </c>
      <c r="AM1173" t="str">
        <f t="shared" si="93"/>
        <v>Low (&lt;3K)</v>
      </c>
      <c r="AN1173" t="str">
        <f t="shared" si="94"/>
        <v>High Risk</v>
      </c>
    </row>
    <row r="1174" spans="1:40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 t="shared" si="90"/>
        <v>0</v>
      </c>
      <c r="AK1174" t="str">
        <f t="shared" si="91"/>
        <v>25-34</v>
      </c>
      <c r="AL1174" t="str">
        <f t="shared" si="92"/>
        <v>5-9 yrs (Senior)</v>
      </c>
      <c r="AM1174" t="str">
        <f t="shared" si="93"/>
        <v>Mid (3K-7K)</v>
      </c>
      <c r="AN1174" t="str">
        <f t="shared" si="94"/>
        <v>Normal</v>
      </c>
    </row>
    <row r="1175" spans="1:40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 t="shared" si="90"/>
        <v>0</v>
      </c>
      <c r="AK1175" t="str">
        <f t="shared" si="91"/>
        <v>35-44</v>
      </c>
      <c r="AL1175" t="str">
        <f t="shared" si="92"/>
        <v>2-4 yrs (Mid)</v>
      </c>
      <c r="AM1175" t="str">
        <f t="shared" si="93"/>
        <v>High (7K-12K)</v>
      </c>
      <c r="AN1175" t="str">
        <f t="shared" si="94"/>
        <v>Normal</v>
      </c>
    </row>
    <row r="1176" spans="1:40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 t="shared" si="90"/>
        <v>0</v>
      </c>
      <c r="AK1176" t="str">
        <f t="shared" si="91"/>
        <v>25-34</v>
      </c>
      <c r="AL1176" t="str">
        <f t="shared" si="92"/>
        <v>5-9 yrs (Senior)</v>
      </c>
      <c r="AM1176" t="str">
        <f t="shared" si="93"/>
        <v>Mid (3K-7K)</v>
      </c>
      <c r="AN1176" t="str">
        <f t="shared" si="94"/>
        <v>Normal</v>
      </c>
    </row>
    <row r="1177" spans="1:40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 t="shared" si="90"/>
        <v>0</v>
      </c>
      <c r="AK1177" t="str">
        <f t="shared" si="91"/>
        <v>35-44</v>
      </c>
      <c r="AL1177" t="str">
        <f t="shared" si="92"/>
        <v>5-9 yrs (Senior)</v>
      </c>
      <c r="AM1177" t="str">
        <f t="shared" si="93"/>
        <v>Mid (3K-7K)</v>
      </c>
      <c r="AN1177" t="str">
        <f t="shared" si="94"/>
        <v>Normal</v>
      </c>
    </row>
    <row r="1178" spans="1:40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 t="shared" si="90"/>
        <v>0</v>
      </c>
      <c r="AK1178" t="str">
        <f t="shared" si="91"/>
        <v>45-54</v>
      </c>
      <c r="AL1178" t="str">
        <f t="shared" si="92"/>
        <v>2-4 yrs (Mid)</v>
      </c>
      <c r="AM1178" t="str">
        <f t="shared" si="93"/>
        <v>Very High (12K+)</v>
      </c>
      <c r="AN1178" t="str">
        <f t="shared" si="94"/>
        <v>Normal</v>
      </c>
    </row>
    <row r="1179" spans="1:40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 t="shared" si="90"/>
        <v>0</v>
      </c>
      <c r="AK1179" t="str">
        <f t="shared" si="91"/>
        <v>45-54</v>
      </c>
      <c r="AL1179" t="str">
        <f t="shared" si="92"/>
        <v>10+ yrs (Veteran)</v>
      </c>
      <c r="AM1179" t="str">
        <f t="shared" si="93"/>
        <v>Very High (12K+)</v>
      </c>
      <c r="AN1179" t="str">
        <f t="shared" si="94"/>
        <v>Normal</v>
      </c>
    </row>
    <row r="1180" spans="1:40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 t="shared" si="90"/>
        <v>0</v>
      </c>
      <c r="AK1180" t="str">
        <f t="shared" si="91"/>
        <v>Under 25</v>
      </c>
      <c r="AL1180" t="str">
        <f t="shared" si="92"/>
        <v>2-4 yrs (Mid)</v>
      </c>
      <c r="AM1180" t="str">
        <f t="shared" si="93"/>
        <v>Low (&lt;3K)</v>
      </c>
      <c r="AN1180" t="str">
        <f t="shared" si="94"/>
        <v>Normal</v>
      </c>
    </row>
    <row r="1181" spans="1:40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 t="shared" si="90"/>
        <v>0</v>
      </c>
      <c r="AK1181" t="str">
        <f t="shared" si="91"/>
        <v>25-34</v>
      </c>
      <c r="AL1181" t="str">
        <f t="shared" si="92"/>
        <v>10+ yrs (Veteran)</v>
      </c>
      <c r="AM1181" t="str">
        <f t="shared" si="93"/>
        <v>Mid (3K-7K)</v>
      </c>
      <c r="AN1181" t="str">
        <f t="shared" si="94"/>
        <v>Normal</v>
      </c>
    </row>
    <row r="1182" spans="1:40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 t="shared" si="90"/>
        <v>0</v>
      </c>
      <c r="AK1182" t="str">
        <f t="shared" si="91"/>
        <v>35-44</v>
      </c>
      <c r="AL1182" t="str">
        <f t="shared" si="92"/>
        <v>2-4 yrs (Mid)</v>
      </c>
      <c r="AM1182" t="str">
        <f t="shared" si="93"/>
        <v>Low (&lt;3K)</v>
      </c>
      <c r="AN1182" t="str">
        <f t="shared" si="94"/>
        <v>Normal</v>
      </c>
    </row>
    <row r="1183" spans="1:40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 t="shared" si="90"/>
        <v>0</v>
      </c>
      <c r="AK1183" t="str">
        <f t="shared" si="91"/>
        <v>45-54</v>
      </c>
      <c r="AL1183" t="str">
        <f t="shared" si="92"/>
        <v>10+ yrs (Veteran)</v>
      </c>
      <c r="AM1183" t="str">
        <f t="shared" si="93"/>
        <v>Very High (12K+)</v>
      </c>
      <c r="AN1183" t="str">
        <f t="shared" si="94"/>
        <v>Normal</v>
      </c>
    </row>
    <row r="1184" spans="1:40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 t="shared" si="90"/>
        <v>0</v>
      </c>
      <c r="AK1184" t="str">
        <f t="shared" si="91"/>
        <v>35-44</v>
      </c>
      <c r="AL1184" t="str">
        <f t="shared" si="92"/>
        <v>2-4 yrs (Mid)</v>
      </c>
      <c r="AM1184" t="str">
        <f t="shared" si="93"/>
        <v>Mid (3K-7K)</v>
      </c>
      <c r="AN1184" t="str">
        <f t="shared" si="94"/>
        <v>Normal</v>
      </c>
    </row>
    <row r="1185" spans="1:40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 t="shared" si="90"/>
        <v>0</v>
      </c>
      <c r="AK1185" t="str">
        <f t="shared" si="91"/>
        <v>35-44</v>
      </c>
      <c r="AL1185" t="str">
        <f t="shared" si="92"/>
        <v>5-9 yrs (Senior)</v>
      </c>
      <c r="AM1185" t="str">
        <f t="shared" si="93"/>
        <v>Mid (3K-7K)</v>
      </c>
      <c r="AN1185" t="str">
        <f t="shared" si="94"/>
        <v>Normal</v>
      </c>
    </row>
    <row r="1186" spans="1:40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 t="shared" si="90"/>
        <v>0</v>
      </c>
      <c r="AK1186" t="str">
        <f t="shared" si="91"/>
        <v>45-54</v>
      </c>
      <c r="AL1186" t="str">
        <f t="shared" si="92"/>
        <v>10+ yrs (Veteran)</v>
      </c>
      <c r="AM1186" t="str">
        <f t="shared" si="93"/>
        <v>Very High (12K+)</v>
      </c>
      <c r="AN1186" t="str">
        <f t="shared" si="94"/>
        <v>Normal</v>
      </c>
    </row>
    <row r="1187" spans="1:40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 t="shared" si="90"/>
        <v>0</v>
      </c>
      <c r="AK1187" t="str">
        <f t="shared" si="91"/>
        <v>35-44</v>
      </c>
      <c r="AL1187" t="str">
        <f t="shared" si="92"/>
        <v>10+ yrs (Veteran)</v>
      </c>
      <c r="AM1187" t="str">
        <f t="shared" si="93"/>
        <v>Very High (12K+)</v>
      </c>
      <c r="AN1187" t="str">
        <f t="shared" si="94"/>
        <v>Normal</v>
      </c>
    </row>
    <row r="1188" spans="1:40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 t="shared" si="90"/>
        <v>1</v>
      </c>
      <c r="AK1188" t="str">
        <f t="shared" si="91"/>
        <v>35-44</v>
      </c>
      <c r="AL1188" t="str">
        <f t="shared" si="92"/>
        <v>10+ yrs (Veteran)</v>
      </c>
      <c r="AM1188" t="str">
        <f t="shared" si="93"/>
        <v>Mid (3K-7K)</v>
      </c>
      <c r="AN1188" t="str">
        <f t="shared" si="94"/>
        <v>Normal</v>
      </c>
    </row>
    <row r="1189" spans="1:40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 t="shared" si="90"/>
        <v>0</v>
      </c>
      <c r="AK1189" t="str">
        <f t="shared" si="91"/>
        <v>35-44</v>
      </c>
      <c r="AL1189" t="str">
        <f t="shared" si="92"/>
        <v>10+ yrs (Veteran)</v>
      </c>
      <c r="AM1189" t="str">
        <f t="shared" si="93"/>
        <v>Mid (3K-7K)</v>
      </c>
      <c r="AN1189" t="str">
        <f t="shared" si="94"/>
        <v>Normal</v>
      </c>
    </row>
    <row r="1190" spans="1:40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 t="shared" si="90"/>
        <v>0</v>
      </c>
      <c r="AK1190" t="str">
        <f t="shared" si="91"/>
        <v>25-34</v>
      </c>
      <c r="AL1190" t="str">
        <f t="shared" si="92"/>
        <v>10+ yrs (Veteran)</v>
      </c>
      <c r="AM1190" t="str">
        <f t="shared" si="93"/>
        <v>Mid (3K-7K)</v>
      </c>
      <c r="AN1190" t="str">
        <f t="shared" si="94"/>
        <v>High Risk</v>
      </c>
    </row>
    <row r="1191" spans="1:40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 t="shared" si="90"/>
        <v>0</v>
      </c>
      <c r="AK1191" t="str">
        <f t="shared" si="91"/>
        <v>25-34</v>
      </c>
      <c r="AL1191" t="str">
        <f t="shared" si="92"/>
        <v>5-9 yrs (Senior)</v>
      </c>
      <c r="AM1191" t="str">
        <f t="shared" si="93"/>
        <v>Mid (3K-7K)</v>
      </c>
      <c r="AN1191" t="str">
        <f t="shared" si="94"/>
        <v>Normal</v>
      </c>
    </row>
    <row r="1192" spans="1:40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 t="shared" si="90"/>
        <v>0</v>
      </c>
      <c r="AK1192" t="str">
        <f t="shared" si="91"/>
        <v>25-34</v>
      </c>
      <c r="AL1192" t="str">
        <f t="shared" si="92"/>
        <v>5-9 yrs (Senior)</v>
      </c>
      <c r="AM1192" t="str">
        <f t="shared" si="93"/>
        <v>Mid (3K-7K)</v>
      </c>
      <c r="AN1192" t="str">
        <f t="shared" si="94"/>
        <v>Normal</v>
      </c>
    </row>
    <row r="1193" spans="1:40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 t="shared" si="90"/>
        <v>0</v>
      </c>
      <c r="AK1193" t="str">
        <f t="shared" si="91"/>
        <v>25-34</v>
      </c>
      <c r="AL1193" t="str">
        <f t="shared" si="92"/>
        <v>10+ yrs (Veteran)</v>
      </c>
      <c r="AM1193" t="str">
        <f t="shared" si="93"/>
        <v>Mid (3K-7K)</v>
      </c>
      <c r="AN1193" t="str">
        <f t="shared" si="94"/>
        <v>Normal</v>
      </c>
    </row>
    <row r="1194" spans="1:40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 t="shared" si="90"/>
        <v>0</v>
      </c>
      <c r="AK1194" t="str">
        <f t="shared" si="91"/>
        <v>45-54</v>
      </c>
      <c r="AL1194" t="str">
        <f t="shared" si="92"/>
        <v>2-4 yrs (Mid)</v>
      </c>
      <c r="AM1194" t="str">
        <f t="shared" si="93"/>
        <v>Low (&lt;3K)</v>
      </c>
      <c r="AN1194" t="str">
        <f t="shared" si="94"/>
        <v>High Risk</v>
      </c>
    </row>
    <row r="1195" spans="1:40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 t="shared" si="90"/>
        <v>0</v>
      </c>
      <c r="AK1195" t="str">
        <f t="shared" si="91"/>
        <v>35-44</v>
      </c>
      <c r="AL1195" t="str">
        <f t="shared" si="92"/>
        <v>2-4 yrs (Mid)</v>
      </c>
      <c r="AM1195" t="str">
        <f t="shared" si="93"/>
        <v>Low (&lt;3K)</v>
      </c>
      <c r="AN1195" t="str">
        <f t="shared" si="94"/>
        <v>Normal</v>
      </c>
    </row>
    <row r="1196" spans="1:40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 t="shared" si="90"/>
        <v>0</v>
      </c>
      <c r="AK1196" t="str">
        <f t="shared" si="91"/>
        <v>45-54</v>
      </c>
      <c r="AL1196" t="str">
        <f t="shared" si="92"/>
        <v>2-4 yrs (Mid)</v>
      </c>
      <c r="AM1196" t="str">
        <f t="shared" si="93"/>
        <v>Very High (12K+)</v>
      </c>
      <c r="AN1196" t="str">
        <f t="shared" si="94"/>
        <v>Normal</v>
      </c>
    </row>
    <row r="1197" spans="1:40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 t="shared" si="90"/>
        <v>0</v>
      </c>
      <c r="AK1197" t="str">
        <f t="shared" si="91"/>
        <v>45-54</v>
      </c>
      <c r="AL1197" t="str">
        <f t="shared" si="92"/>
        <v>5-9 yrs (Senior)</v>
      </c>
      <c r="AM1197" t="str">
        <f t="shared" si="93"/>
        <v>Very High (12K+)</v>
      </c>
      <c r="AN1197" t="str">
        <f t="shared" si="94"/>
        <v>Normal</v>
      </c>
    </row>
    <row r="1198" spans="1:40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 t="shared" si="90"/>
        <v>0</v>
      </c>
      <c r="AK1198" t="str">
        <f t="shared" si="91"/>
        <v>35-44</v>
      </c>
      <c r="AL1198" t="str">
        <f t="shared" si="92"/>
        <v>2-4 yrs (Mid)</v>
      </c>
      <c r="AM1198" t="str">
        <f t="shared" si="93"/>
        <v>High (7K-12K)</v>
      </c>
      <c r="AN1198" t="str">
        <f t="shared" si="94"/>
        <v>Normal</v>
      </c>
    </row>
    <row r="1199" spans="1:40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 t="shared" si="90"/>
        <v>0</v>
      </c>
      <c r="AK1199" t="str">
        <f t="shared" si="91"/>
        <v>Under 25</v>
      </c>
      <c r="AL1199" t="str">
        <f t="shared" si="92"/>
        <v>2-4 yrs (Mid)</v>
      </c>
      <c r="AM1199" t="str">
        <f t="shared" si="93"/>
        <v>Low (&lt;3K)</v>
      </c>
      <c r="AN1199" t="str">
        <f t="shared" si="94"/>
        <v>Normal</v>
      </c>
    </row>
    <row r="1200" spans="1:40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 t="shared" si="90"/>
        <v>0</v>
      </c>
      <c r="AK1200" t="str">
        <f t="shared" si="91"/>
        <v>25-34</v>
      </c>
      <c r="AL1200" t="str">
        <f t="shared" si="92"/>
        <v>5-9 yrs (Senior)</v>
      </c>
      <c r="AM1200" t="str">
        <f t="shared" si="93"/>
        <v>Mid (3K-7K)</v>
      </c>
      <c r="AN1200" t="str">
        <f t="shared" si="94"/>
        <v>Normal</v>
      </c>
    </row>
    <row r="1201" spans="1:40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 t="shared" si="90"/>
        <v>0</v>
      </c>
      <c r="AK1201" t="str">
        <f t="shared" si="91"/>
        <v>35-44</v>
      </c>
      <c r="AL1201" t="str">
        <f t="shared" si="92"/>
        <v>2-4 yrs (Mid)</v>
      </c>
      <c r="AM1201" t="str">
        <f t="shared" si="93"/>
        <v>Mid (3K-7K)</v>
      </c>
      <c r="AN1201" t="str">
        <f t="shared" si="94"/>
        <v>Normal</v>
      </c>
    </row>
    <row r="1202" spans="1:40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 t="shared" si="90"/>
        <v>0</v>
      </c>
      <c r="AK1202" t="str">
        <f t="shared" si="91"/>
        <v>35-44</v>
      </c>
      <c r="AL1202" t="str">
        <f t="shared" si="92"/>
        <v>2-4 yrs (Mid)</v>
      </c>
      <c r="AM1202" t="str">
        <f t="shared" si="93"/>
        <v>Mid (3K-7K)</v>
      </c>
      <c r="AN1202" t="str">
        <f t="shared" si="94"/>
        <v>Normal</v>
      </c>
    </row>
    <row r="1203" spans="1:40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 t="shared" si="90"/>
        <v>1</v>
      </c>
      <c r="AK1203" t="str">
        <f t="shared" si="91"/>
        <v>Under 25</v>
      </c>
      <c r="AL1203" t="str">
        <f t="shared" si="92"/>
        <v>5-9 yrs (Senior)</v>
      </c>
      <c r="AM1203" t="str">
        <f t="shared" si="93"/>
        <v>Mid (3K-7K)</v>
      </c>
      <c r="AN1203" t="str">
        <f t="shared" si="94"/>
        <v>Normal</v>
      </c>
    </row>
    <row r="1204" spans="1:40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 t="shared" si="90"/>
        <v>0</v>
      </c>
      <c r="AK1204" t="str">
        <f t="shared" si="91"/>
        <v>35-44</v>
      </c>
      <c r="AL1204" t="str">
        <f t="shared" si="92"/>
        <v>0-1 yrs (New)</v>
      </c>
      <c r="AM1204" t="str">
        <f t="shared" si="93"/>
        <v>Mid (3K-7K)</v>
      </c>
      <c r="AN1204" t="str">
        <f t="shared" si="94"/>
        <v>Normal</v>
      </c>
    </row>
    <row r="1205" spans="1:40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 t="shared" si="90"/>
        <v>0</v>
      </c>
      <c r="AK1205" t="str">
        <f t="shared" si="91"/>
        <v>45-54</v>
      </c>
      <c r="AL1205" t="str">
        <f t="shared" si="92"/>
        <v>2-4 yrs (Mid)</v>
      </c>
      <c r="AM1205" t="str">
        <f t="shared" si="93"/>
        <v>High (7K-12K)</v>
      </c>
      <c r="AN1205" t="str">
        <f t="shared" si="94"/>
        <v>Normal</v>
      </c>
    </row>
    <row r="1206" spans="1:40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 t="shared" si="90"/>
        <v>1</v>
      </c>
      <c r="AK1206" t="str">
        <f t="shared" si="91"/>
        <v>45-54</v>
      </c>
      <c r="AL1206" t="str">
        <f t="shared" si="92"/>
        <v>5-9 yrs (Senior)</v>
      </c>
      <c r="AM1206" t="str">
        <f t="shared" si="93"/>
        <v>Low (&lt;3K)</v>
      </c>
      <c r="AN1206" t="str">
        <f t="shared" si="94"/>
        <v>Normal</v>
      </c>
    </row>
    <row r="1207" spans="1:40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 t="shared" si="90"/>
        <v>1</v>
      </c>
      <c r="AK1207" t="str">
        <f t="shared" si="91"/>
        <v>25-34</v>
      </c>
      <c r="AL1207" t="str">
        <f t="shared" si="92"/>
        <v>0-1 yrs (New)</v>
      </c>
      <c r="AM1207" t="str">
        <f t="shared" si="93"/>
        <v>Low (&lt;3K)</v>
      </c>
      <c r="AN1207" t="str">
        <f t="shared" si="94"/>
        <v>Normal</v>
      </c>
    </row>
    <row r="1208" spans="1:40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 t="shared" si="90"/>
        <v>0</v>
      </c>
      <c r="AK1208" t="str">
        <f t="shared" si="91"/>
        <v>25-34</v>
      </c>
      <c r="AL1208" t="str">
        <f t="shared" si="92"/>
        <v>5-9 yrs (Senior)</v>
      </c>
      <c r="AM1208" t="str">
        <f t="shared" si="93"/>
        <v>Low (&lt;3K)</v>
      </c>
      <c r="AN1208" t="str">
        <f t="shared" si="94"/>
        <v>Normal</v>
      </c>
    </row>
    <row r="1209" spans="1:40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 t="shared" si="90"/>
        <v>0</v>
      </c>
      <c r="AK1209" t="str">
        <f t="shared" si="91"/>
        <v>55+</v>
      </c>
      <c r="AL1209" t="str">
        <f t="shared" si="92"/>
        <v>2-4 yrs (Mid)</v>
      </c>
      <c r="AM1209" t="str">
        <f t="shared" si="93"/>
        <v>Mid (3K-7K)</v>
      </c>
      <c r="AN1209" t="str">
        <f t="shared" si="94"/>
        <v>Normal</v>
      </c>
    </row>
    <row r="1210" spans="1:40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 t="shared" si="90"/>
        <v>0</v>
      </c>
      <c r="AK1210" t="str">
        <f t="shared" si="91"/>
        <v>25-34</v>
      </c>
      <c r="AL1210" t="str">
        <f t="shared" si="92"/>
        <v>10+ yrs (Veteran)</v>
      </c>
      <c r="AM1210" t="str">
        <f t="shared" si="93"/>
        <v>Mid (3K-7K)</v>
      </c>
      <c r="AN1210" t="str">
        <f t="shared" si="94"/>
        <v>Normal</v>
      </c>
    </row>
    <row r="1211" spans="1:40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 t="shared" si="90"/>
        <v>0</v>
      </c>
      <c r="AK1211" t="str">
        <f t="shared" si="91"/>
        <v>55+</v>
      </c>
      <c r="AL1211" t="str">
        <f t="shared" si="92"/>
        <v>0-1 yrs (New)</v>
      </c>
      <c r="AM1211" t="str">
        <f t="shared" si="93"/>
        <v>High (7K-12K)</v>
      </c>
      <c r="AN1211" t="str">
        <f t="shared" si="94"/>
        <v>Normal</v>
      </c>
    </row>
    <row r="1212" spans="1:40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 t="shared" si="90"/>
        <v>0</v>
      </c>
      <c r="AK1212" t="str">
        <f t="shared" si="91"/>
        <v>25-34</v>
      </c>
      <c r="AL1212" t="str">
        <f t="shared" si="92"/>
        <v>10+ yrs (Veteran)</v>
      </c>
      <c r="AM1212" t="str">
        <f t="shared" si="93"/>
        <v>Low (&lt;3K)</v>
      </c>
      <c r="AN1212" t="str">
        <f t="shared" si="94"/>
        <v>Normal</v>
      </c>
    </row>
    <row r="1213" spans="1:40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 t="shared" si="90"/>
        <v>0</v>
      </c>
      <c r="AK1213" t="str">
        <f t="shared" si="91"/>
        <v>35-44</v>
      </c>
      <c r="AL1213" t="str">
        <f t="shared" si="92"/>
        <v>5-9 yrs (Senior)</v>
      </c>
      <c r="AM1213" t="str">
        <f t="shared" si="93"/>
        <v>High (7K-12K)</v>
      </c>
      <c r="AN1213" t="str">
        <f t="shared" si="94"/>
        <v>Normal</v>
      </c>
    </row>
    <row r="1214" spans="1:40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 t="shared" si="90"/>
        <v>0</v>
      </c>
      <c r="AK1214" t="str">
        <f t="shared" si="91"/>
        <v>25-34</v>
      </c>
      <c r="AL1214" t="str">
        <f t="shared" si="92"/>
        <v>10+ yrs (Veteran)</v>
      </c>
      <c r="AM1214" t="str">
        <f t="shared" si="93"/>
        <v>Low (&lt;3K)</v>
      </c>
      <c r="AN1214" t="str">
        <f t="shared" si="94"/>
        <v>Normal</v>
      </c>
    </row>
    <row r="1215" spans="1:40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 t="shared" si="90"/>
        <v>1</v>
      </c>
      <c r="AK1215" t="str">
        <f t="shared" si="91"/>
        <v>Under 25</v>
      </c>
      <c r="AL1215" t="str">
        <f t="shared" si="92"/>
        <v>2-4 yrs (Mid)</v>
      </c>
      <c r="AM1215" t="str">
        <f t="shared" si="93"/>
        <v>Low (&lt;3K)</v>
      </c>
      <c r="AN1215" t="str">
        <f t="shared" si="94"/>
        <v>Normal</v>
      </c>
    </row>
    <row r="1216" spans="1:40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 t="shared" si="90"/>
        <v>0</v>
      </c>
      <c r="AK1216" t="str">
        <f t="shared" si="91"/>
        <v>35-44</v>
      </c>
      <c r="AL1216" t="str">
        <f t="shared" si="92"/>
        <v>5-9 yrs (Senior)</v>
      </c>
      <c r="AM1216" t="str">
        <f t="shared" si="93"/>
        <v>High (7K-12K)</v>
      </c>
      <c r="AN1216" t="str">
        <f t="shared" si="94"/>
        <v>Normal</v>
      </c>
    </row>
    <row r="1217" spans="1:40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 t="shared" si="90"/>
        <v>0</v>
      </c>
      <c r="AK1217" t="str">
        <f t="shared" si="91"/>
        <v>35-44</v>
      </c>
      <c r="AL1217" t="str">
        <f t="shared" si="92"/>
        <v>5-9 yrs (Senior)</v>
      </c>
      <c r="AM1217" t="str">
        <f t="shared" si="93"/>
        <v>Mid (3K-7K)</v>
      </c>
      <c r="AN1217" t="str">
        <f t="shared" si="94"/>
        <v>Normal</v>
      </c>
    </row>
    <row r="1218" spans="1:40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 t="shared" si="90"/>
        <v>0</v>
      </c>
      <c r="AK1218" t="str">
        <f t="shared" si="91"/>
        <v>35-44</v>
      </c>
      <c r="AL1218" t="str">
        <f t="shared" si="92"/>
        <v>10+ yrs (Veteran)</v>
      </c>
      <c r="AM1218" t="str">
        <f t="shared" si="93"/>
        <v>High (7K-12K)</v>
      </c>
      <c r="AN1218" t="str">
        <f t="shared" si="94"/>
        <v>Normal</v>
      </c>
    </row>
    <row r="1219" spans="1:40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 t="shared" ref="AJ1219:AJ1282" si="95">IF(B1219="Yes", 1, 0)</f>
        <v>0</v>
      </c>
      <c r="AK1219" t="str">
        <f t="shared" ref="AK1219:AK1282" si="96">IF(A1219&lt;25, "Under 25", IF(A1219&lt;35, "25-34", IF(A1219&lt;45, "35-44", IF(A1219&lt;55, "45-54", "55+"))))</f>
        <v>Under 25</v>
      </c>
      <c r="AL1219" t="str">
        <f t="shared" ref="AL1219:AL1282" si="97">IF(AF1219&lt;2, "0-1 yrs (New)", IF(AF1219&lt;5, "2-4 yrs (Mid)", IF(AF1219&lt;10, "5-9 yrs (Senior)", "10+ yrs (Veteran)")))</f>
        <v>5-9 yrs (Senior)</v>
      </c>
      <c r="AM1219" t="str">
        <f t="shared" ref="AM1219:AM1282" si="98">IF(S1219&lt;3000, "Low (&lt;3K)", IF(S1219&lt;7000, "Mid (3K-7K)", IF(S1219&lt;12000, "High (7K-12K)", "Very High (12K+)")))</f>
        <v>Mid (3K-7K)</v>
      </c>
      <c r="AN1219" t="str">
        <f t="shared" ref="AN1219:AN1282" si="99">IF(AND(W1219="Yes", Q1219&lt;=2), "High Risk", "Normal")</f>
        <v>Normal</v>
      </c>
    </row>
    <row r="1220" spans="1:40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 t="shared" si="95"/>
        <v>0</v>
      </c>
      <c r="AK1220" t="str">
        <f t="shared" si="96"/>
        <v>35-44</v>
      </c>
      <c r="AL1220" t="str">
        <f t="shared" si="97"/>
        <v>10+ yrs (Veteran)</v>
      </c>
      <c r="AM1220" t="str">
        <f t="shared" si="98"/>
        <v>High (7K-12K)</v>
      </c>
      <c r="AN1220" t="str">
        <f t="shared" si="99"/>
        <v>Normal</v>
      </c>
    </row>
    <row r="1221" spans="1:40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 t="shared" si="95"/>
        <v>0</v>
      </c>
      <c r="AK1221" t="str">
        <f t="shared" si="96"/>
        <v>25-34</v>
      </c>
      <c r="AL1221" t="str">
        <f t="shared" si="97"/>
        <v>5-9 yrs (Senior)</v>
      </c>
      <c r="AM1221" t="str">
        <f t="shared" si="98"/>
        <v>Low (&lt;3K)</v>
      </c>
      <c r="AN1221" t="str">
        <f t="shared" si="99"/>
        <v>Normal</v>
      </c>
    </row>
    <row r="1222" spans="1:40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 t="shared" si="95"/>
        <v>0</v>
      </c>
      <c r="AK1222" t="str">
        <f t="shared" si="96"/>
        <v>35-44</v>
      </c>
      <c r="AL1222" t="str">
        <f t="shared" si="97"/>
        <v>10+ yrs (Veteran)</v>
      </c>
      <c r="AM1222" t="str">
        <f t="shared" si="98"/>
        <v>Mid (3K-7K)</v>
      </c>
      <c r="AN1222" t="str">
        <f t="shared" si="99"/>
        <v>Normal</v>
      </c>
    </row>
    <row r="1223" spans="1:40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 t="shared" si="95"/>
        <v>0</v>
      </c>
      <c r="AK1223" t="str">
        <f t="shared" si="96"/>
        <v>45-54</v>
      </c>
      <c r="AL1223" t="str">
        <f t="shared" si="97"/>
        <v>10+ yrs (Veteran)</v>
      </c>
      <c r="AM1223" t="str">
        <f t="shared" si="98"/>
        <v>High (7K-12K)</v>
      </c>
      <c r="AN1223" t="str">
        <f t="shared" si="99"/>
        <v>Normal</v>
      </c>
    </row>
    <row r="1224" spans="1:40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 t="shared" si="95"/>
        <v>1</v>
      </c>
      <c r="AK1224" t="str">
        <f t="shared" si="96"/>
        <v>Under 25</v>
      </c>
      <c r="AL1224" t="str">
        <f t="shared" si="97"/>
        <v>0-1 yrs (New)</v>
      </c>
      <c r="AM1224" t="str">
        <f t="shared" si="98"/>
        <v>Low (&lt;3K)</v>
      </c>
      <c r="AN1224" t="str">
        <f t="shared" si="99"/>
        <v>Normal</v>
      </c>
    </row>
    <row r="1225" spans="1:40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 t="shared" si="95"/>
        <v>1</v>
      </c>
      <c r="AK1225" t="str">
        <f t="shared" si="96"/>
        <v>45-54</v>
      </c>
      <c r="AL1225" t="str">
        <f t="shared" si="97"/>
        <v>10+ yrs (Veteran)</v>
      </c>
      <c r="AM1225" t="str">
        <f t="shared" si="98"/>
        <v>Very High (12K+)</v>
      </c>
      <c r="AN1225" t="str">
        <f t="shared" si="99"/>
        <v>Normal</v>
      </c>
    </row>
    <row r="1226" spans="1:40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 t="shared" si="95"/>
        <v>0</v>
      </c>
      <c r="AK1226" t="str">
        <f t="shared" si="96"/>
        <v>25-34</v>
      </c>
      <c r="AL1226" t="str">
        <f t="shared" si="97"/>
        <v>2-4 yrs (Mid)</v>
      </c>
      <c r="AM1226" t="str">
        <f t="shared" si="98"/>
        <v>Low (&lt;3K)</v>
      </c>
      <c r="AN1226" t="str">
        <f t="shared" si="99"/>
        <v>Normal</v>
      </c>
    </row>
    <row r="1227" spans="1:40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 t="shared" si="95"/>
        <v>0</v>
      </c>
      <c r="AK1227" t="str">
        <f t="shared" si="96"/>
        <v>45-54</v>
      </c>
      <c r="AL1227" t="str">
        <f t="shared" si="97"/>
        <v>10+ yrs (Veteran)</v>
      </c>
      <c r="AM1227" t="str">
        <f t="shared" si="98"/>
        <v>Very High (12K+)</v>
      </c>
      <c r="AN1227" t="str">
        <f t="shared" si="99"/>
        <v>Normal</v>
      </c>
    </row>
    <row r="1228" spans="1:40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 t="shared" si="95"/>
        <v>0</v>
      </c>
      <c r="AK1228" t="str">
        <f t="shared" si="96"/>
        <v>25-34</v>
      </c>
      <c r="AL1228" t="str">
        <f t="shared" si="97"/>
        <v>5-9 yrs (Senior)</v>
      </c>
      <c r="AM1228" t="str">
        <f t="shared" si="98"/>
        <v>Mid (3K-7K)</v>
      </c>
      <c r="AN1228" t="str">
        <f t="shared" si="99"/>
        <v>Normal</v>
      </c>
    </row>
    <row r="1229" spans="1:40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 t="shared" si="95"/>
        <v>0</v>
      </c>
      <c r="AK1229" t="str">
        <f t="shared" si="96"/>
        <v>25-34</v>
      </c>
      <c r="AL1229" t="str">
        <f t="shared" si="97"/>
        <v>5-9 yrs (Senior)</v>
      </c>
      <c r="AM1229" t="str">
        <f t="shared" si="98"/>
        <v>Mid (3K-7K)</v>
      </c>
      <c r="AN1229" t="str">
        <f t="shared" si="99"/>
        <v>Normal</v>
      </c>
    </row>
    <row r="1230" spans="1:40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 t="shared" si="95"/>
        <v>0</v>
      </c>
      <c r="AK1230" t="str">
        <f t="shared" si="96"/>
        <v>35-44</v>
      </c>
      <c r="AL1230" t="str">
        <f t="shared" si="97"/>
        <v>2-4 yrs (Mid)</v>
      </c>
      <c r="AM1230" t="str">
        <f t="shared" si="98"/>
        <v>Mid (3K-7K)</v>
      </c>
      <c r="AN1230" t="str">
        <f t="shared" si="99"/>
        <v>Normal</v>
      </c>
    </row>
    <row r="1231" spans="1:40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 t="shared" si="95"/>
        <v>0</v>
      </c>
      <c r="AK1231" t="str">
        <f t="shared" si="96"/>
        <v>35-44</v>
      </c>
      <c r="AL1231" t="str">
        <f t="shared" si="97"/>
        <v>0-1 yrs (New)</v>
      </c>
      <c r="AM1231" t="str">
        <f t="shared" si="98"/>
        <v>Mid (3K-7K)</v>
      </c>
      <c r="AN1231" t="str">
        <f t="shared" si="99"/>
        <v>High Risk</v>
      </c>
    </row>
    <row r="1232" spans="1:40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 t="shared" si="95"/>
        <v>0</v>
      </c>
      <c r="AK1232" t="str">
        <f t="shared" si="96"/>
        <v>Under 25</v>
      </c>
      <c r="AL1232" t="str">
        <f t="shared" si="97"/>
        <v>5-9 yrs (Senior)</v>
      </c>
      <c r="AM1232" t="str">
        <f t="shared" si="98"/>
        <v>Mid (3K-7K)</v>
      </c>
      <c r="AN1232" t="str">
        <f t="shared" si="99"/>
        <v>Normal</v>
      </c>
    </row>
    <row r="1233" spans="1:40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 t="shared" si="95"/>
        <v>0</v>
      </c>
      <c r="AK1233" t="str">
        <f t="shared" si="96"/>
        <v>45-54</v>
      </c>
      <c r="AL1233" t="str">
        <f t="shared" si="97"/>
        <v>10+ yrs (Veteran)</v>
      </c>
      <c r="AM1233" t="str">
        <f t="shared" si="98"/>
        <v>Mid (3K-7K)</v>
      </c>
      <c r="AN1233" t="str">
        <f t="shared" si="99"/>
        <v>Normal</v>
      </c>
    </row>
    <row r="1234" spans="1:40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 t="shared" si="95"/>
        <v>0</v>
      </c>
      <c r="AK1234" t="str">
        <f t="shared" si="96"/>
        <v>35-44</v>
      </c>
      <c r="AL1234" t="str">
        <f t="shared" si="97"/>
        <v>5-9 yrs (Senior)</v>
      </c>
      <c r="AM1234" t="str">
        <f t="shared" si="98"/>
        <v>Mid (3K-7K)</v>
      </c>
      <c r="AN1234" t="str">
        <f t="shared" si="99"/>
        <v>Normal</v>
      </c>
    </row>
    <row r="1235" spans="1:40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 t="shared" si="95"/>
        <v>0</v>
      </c>
      <c r="AK1235" t="str">
        <f t="shared" si="96"/>
        <v>25-34</v>
      </c>
      <c r="AL1235" t="str">
        <f t="shared" si="97"/>
        <v>10+ yrs (Veteran)</v>
      </c>
      <c r="AM1235" t="str">
        <f t="shared" si="98"/>
        <v>Low (&lt;3K)</v>
      </c>
      <c r="AN1235" t="str">
        <f t="shared" si="99"/>
        <v>Normal</v>
      </c>
    </row>
    <row r="1236" spans="1:40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 t="shared" si="95"/>
        <v>0</v>
      </c>
      <c r="AK1236" t="str">
        <f t="shared" si="96"/>
        <v>45-54</v>
      </c>
      <c r="AL1236" t="str">
        <f t="shared" si="97"/>
        <v>0-1 yrs (New)</v>
      </c>
      <c r="AM1236" t="str">
        <f t="shared" si="98"/>
        <v>Mid (3K-7K)</v>
      </c>
      <c r="AN1236" t="str">
        <f t="shared" si="99"/>
        <v>Normal</v>
      </c>
    </row>
    <row r="1237" spans="1:40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 t="shared" si="95"/>
        <v>0</v>
      </c>
      <c r="AK1237" t="str">
        <f t="shared" si="96"/>
        <v>45-54</v>
      </c>
      <c r="AL1237" t="str">
        <f t="shared" si="97"/>
        <v>10+ yrs (Veteran)</v>
      </c>
      <c r="AM1237" t="str">
        <f t="shared" si="98"/>
        <v>High (7K-12K)</v>
      </c>
      <c r="AN1237" t="str">
        <f t="shared" si="99"/>
        <v>Normal</v>
      </c>
    </row>
    <row r="1238" spans="1:40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 t="shared" si="95"/>
        <v>1</v>
      </c>
      <c r="AK1238" t="str">
        <f t="shared" si="96"/>
        <v>35-44</v>
      </c>
      <c r="AL1238" t="str">
        <f t="shared" si="97"/>
        <v>2-4 yrs (Mid)</v>
      </c>
      <c r="AM1238" t="str">
        <f t="shared" si="98"/>
        <v>Mid (3K-7K)</v>
      </c>
      <c r="AN1238" t="str">
        <f t="shared" si="99"/>
        <v>High Risk</v>
      </c>
    </row>
    <row r="1239" spans="1:40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 t="shared" si="95"/>
        <v>1</v>
      </c>
      <c r="AK1239" t="str">
        <f t="shared" si="96"/>
        <v>25-34</v>
      </c>
      <c r="AL1239" t="str">
        <f t="shared" si="97"/>
        <v>0-1 yrs (New)</v>
      </c>
      <c r="AM1239" t="str">
        <f t="shared" si="98"/>
        <v>Mid (3K-7K)</v>
      </c>
      <c r="AN1239" t="str">
        <f t="shared" si="99"/>
        <v>Normal</v>
      </c>
    </row>
    <row r="1240" spans="1:40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 t="shared" si="95"/>
        <v>0</v>
      </c>
      <c r="AK1240" t="str">
        <f t="shared" si="96"/>
        <v>Under 25</v>
      </c>
      <c r="AL1240" t="str">
        <f t="shared" si="97"/>
        <v>2-4 yrs (Mid)</v>
      </c>
      <c r="AM1240" t="str">
        <f t="shared" si="98"/>
        <v>Mid (3K-7K)</v>
      </c>
      <c r="AN1240" t="str">
        <f t="shared" si="99"/>
        <v>Normal</v>
      </c>
    </row>
    <row r="1241" spans="1:40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 t="shared" si="95"/>
        <v>0</v>
      </c>
      <c r="AK1241" t="str">
        <f t="shared" si="96"/>
        <v>25-34</v>
      </c>
      <c r="AL1241" t="str">
        <f t="shared" si="97"/>
        <v>5-9 yrs (Senior)</v>
      </c>
      <c r="AM1241" t="str">
        <f t="shared" si="98"/>
        <v>Mid (3K-7K)</v>
      </c>
      <c r="AN1241" t="str">
        <f t="shared" si="99"/>
        <v>Normal</v>
      </c>
    </row>
    <row r="1242" spans="1:40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 t="shared" si="95"/>
        <v>0</v>
      </c>
      <c r="AK1242" t="str">
        <f t="shared" si="96"/>
        <v>35-44</v>
      </c>
      <c r="AL1242" t="str">
        <f t="shared" si="97"/>
        <v>5-9 yrs (Senior)</v>
      </c>
      <c r="AM1242" t="str">
        <f t="shared" si="98"/>
        <v>Mid (3K-7K)</v>
      </c>
      <c r="AN1242" t="str">
        <f t="shared" si="99"/>
        <v>Normal</v>
      </c>
    </row>
    <row r="1243" spans="1:40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 t="shared" si="95"/>
        <v>0</v>
      </c>
      <c r="AK1243" t="str">
        <f t="shared" si="96"/>
        <v>25-34</v>
      </c>
      <c r="AL1243" t="str">
        <f t="shared" si="97"/>
        <v>2-4 yrs (Mid)</v>
      </c>
      <c r="AM1243" t="str">
        <f t="shared" si="98"/>
        <v>High (7K-12K)</v>
      </c>
      <c r="AN1243" t="str">
        <f t="shared" si="99"/>
        <v>Normal</v>
      </c>
    </row>
    <row r="1244" spans="1:40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 t="shared" si="95"/>
        <v>0</v>
      </c>
      <c r="AK1244" t="str">
        <f t="shared" si="96"/>
        <v>35-44</v>
      </c>
      <c r="AL1244" t="str">
        <f t="shared" si="97"/>
        <v>10+ yrs (Veteran)</v>
      </c>
      <c r="AM1244" t="str">
        <f t="shared" si="98"/>
        <v>Very High (12K+)</v>
      </c>
      <c r="AN1244" t="str">
        <f t="shared" si="99"/>
        <v>Normal</v>
      </c>
    </row>
    <row r="1245" spans="1:40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 t="shared" si="95"/>
        <v>0</v>
      </c>
      <c r="AK1245" t="str">
        <f t="shared" si="96"/>
        <v>45-54</v>
      </c>
      <c r="AL1245" t="str">
        <f t="shared" si="97"/>
        <v>5-9 yrs (Senior)</v>
      </c>
      <c r="AM1245" t="str">
        <f t="shared" si="98"/>
        <v>High (7K-12K)</v>
      </c>
      <c r="AN1245" t="str">
        <f t="shared" si="99"/>
        <v>Normal</v>
      </c>
    </row>
    <row r="1246" spans="1:40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 t="shared" si="95"/>
        <v>0</v>
      </c>
      <c r="AK1246" t="str">
        <f t="shared" si="96"/>
        <v>25-34</v>
      </c>
      <c r="AL1246" t="str">
        <f t="shared" si="97"/>
        <v>5-9 yrs (Senior)</v>
      </c>
      <c r="AM1246" t="str">
        <f t="shared" si="98"/>
        <v>Mid (3K-7K)</v>
      </c>
      <c r="AN1246" t="str">
        <f t="shared" si="99"/>
        <v>Normal</v>
      </c>
    </row>
    <row r="1247" spans="1:40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 t="shared" si="95"/>
        <v>0</v>
      </c>
      <c r="AK1247" t="str">
        <f t="shared" si="96"/>
        <v>Under 25</v>
      </c>
      <c r="AL1247" t="str">
        <f t="shared" si="97"/>
        <v>2-4 yrs (Mid)</v>
      </c>
      <c r="AM1247" t="str">
        <f t="shared" si="98"/>
        <v>Low (&lt;3K)</v>
      </c>
      <c r="AN1247" t="str">
        <f t="shared" si="99"/>
        <v>Normal</v>
      </c>
    </row>
    <row r="1248" spans="1:40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 t="shared" si="95"/>
        <v>1</v>
      </c>
      <c r="AK1248" t="str">
        <f t="shared" si="96"/>
        <v>25-34</v>
      </c>
      <c r="AL1248" t="str">
        <f t="shared" si="97"/>
        <v>2-4 yrs (Mid)</v>
      </c>
      <c r="AM1248" t="str">
        <f t="shared" si="98"/>
        <v>Low (&lt;3K)</v>
      </c>
      <c r="AN1248" t="str">
        <f t="shared" si="99"/>
        <v>Normal</v>
      </c>
    </row>
    <row r="1249" spans="1:40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 t="shared" si="95"/>
        <v>0</v>
      </c>
      <c r="AK1249" t="str">
        <f t="shared" si="96"/>
        <v>25-34</v>
      </c>
      <c r="AL1249" t="str">
        <f t="shared" si="97"/>
        <v>5-9 yrs (Senior)</v>
      </c>
      <c r="AM1249" t="str">
        <f t="shared" si="98"/>
        <v>High (7K-12K)</v>
      </c>
      <c r="AN1249" t="str">
        <f t="shared" si="99"/>
        <v>Normal</v>
      </c>
    </row>
    <row r="1250" spans="1:40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 t="shared" si="95"/>
        <v>0</v>
      </c>
      <c r="AK1250" t="str">
        <f t="shared" si="96"/>
        <v>25-34</v>
      </c>
      <c r="AL1250" t="str">
        <f t="shared" si="97"/>
        <v>5-9 yrs (Senior)</v>
      </c>
      <c r="AM1250" t="str">
        <f t="shared" si="98"/>
        <v>Mid (3K-7K)</v>
      </c>
      <c r="AN1250" t="str">
        <f t="shared" si="99"/>
        <v>Normal</v>
      </c>
    </row>
    <row r="1251" spans="1:40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 t="shared" si="95"/>
        <v>1</v>
      </c>
      <c r="AK1251" t="str">
        <f t="shared" si="96"/>
        <v>25-34</v>
      </c>
      <c r="AL1251" t="str">
        <f t="shared" si="97"/>
        <v>2-4 yrs (Mid)</v>
      </c>
      <c r="AM1251" t="str">
        <f t="shared" si="98"/>
        <v>Low (&lt;3K)</v>
      </c>
      <c r="AN1251" t="str">
        <f t="shared" si="99"/>
        <v>Normal</v>
      </c>
    </row>
    <row r="1252" spans="1:40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 t="shared" si="95"/>
        <v>0</v>
      </c>
      <c r="AK1252" t="str">
        <f t="shared" si="96"/>
        <v>25-34</v>
      </c>
      <c r="AL1252" t="str">
        <f t="shared" si="97"/>
        <v>2-4 yrs (Mid)</v>
      </c>
      <c r="AM1252" t="str">
        <f t="shared" si="98"/>
        <v>Mid (3K-7K)</v>
      </c>
      <c r="AN1252" t="str">
        <f t="shared" si="99"/>
        <v>Normal</v>
      </c>
    </row>
    <row r="1253" spans="1:40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 t="shared" si="95"/>
        <v>0</v>
      </c>
      <c r="AK1253" t="str">
        <f t="shared" si="96"/>
        <v>25-34</v>
      </c>
      <c r="AL1253" t="str">
        <f t="shared" si="97"/>
        <v>5-9 yrs (Senior)</v>
      </c>
      <c r="AM1253" t="str">
        <f t="shared" si="98"/>
        <v>High (7K-12K)</v>
      </c>
      <c r="AN1253" t="str">
        <f t="shared" si="99"/>
        <v>Normal</v>
      </c>
    </row>
    <row r="1254" spans="1:40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 t="shared" si="95"/>
        <v>0</v>
      </c>
      <c r="AK1254" t="str">
        <f t="shared" si="96"/>
        <v>25-34</v>
      </c>
      <c r="AL1254" t="str">
        <f t="shared" si="97"/>
        <v>5-9 yrs (Senior)</v>
      </c>
      <c r="AM1254" t="str">
        <f t="shared" si="98"/>
        <v>Low (&lt;3K)</v>
      </c>
      <c r="AN1254" t="str">
        <f t="shared" si="99"/>
        <v>Normal</v>
      </c>
    </row>
    <row r="1255" spans="1:40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 t="shared" si="95"/>
        <v>0</v>
      </c>
      <c r="AK1255" t="str">
        <f t="shared" si="96"/>
        <v>25-34</v>
      </c>
      <c r="AL1255" t="str">
        <f t="shared" si="97"/>
        <v>10+ yrs (Veteran)</v>
      </c>
      <c r="AM1255" t="str">
        <f t="shared" si="98"/>
        <v>Mid (3K-7K)</v>
      </c>
      <c r="AN1255" t="str">
        <f t="shared" si="99"/>
        <v>Normal</v>
      </c>
    </row>
    <row r="1256" spans="1:40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 t="shared" si="95"/>
        <v>0</v>
      </c>
      <c r="AK1256" t="str">
        <f t="shared" si="96"/>
        <v>45-54</v>
      </c>
      <c r="AL1256" t="str">
        <f t="shared" si="97"/>
        <v>5-9 yrs (Senior)</v>
      </c>
      <c r="AM1256" t="str">
        <f t="shared" si="98"/>
        <v>Mid (3K-7K)</v>
      </c>
      <c r="AN1256" t="str">
        <f t="shared" si="99"/>
        <v>Normal</v>
      </c>
    </row>
    <row r="1257" spans="1:40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 t="shared" si="95"/>
        <v>1</v>
      </c>
      <c r="AK1257" t="str">
        <f t="shared" si="96"/>
        <v>25-34</v>
      </c>
      <c r="AL1257" t="str">
        <f t="shared" si="97"/>
        <v>0-1 yrs (New)</v>
      </c>
      <c r="AM1257" t="str">
        <f t="shared" si="98"/>
        <v>High (7K-12K)</v>
      </c>
      <c r="AN1257" t="str">
        <f t="shared" si="99"/>
        <v>High Risk</v>
      </c>
    </row>
    <row r="1258" spans="1:40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 t="shared" si="95"/>
        <v>0</v>
      </c>
      <c r="AK1258" t="str">
        <f t="shared" si="96"/>
        <v>35-44</v>
      </c>
      <c r="AL1258" t="str">
        <f t="shared" si="97"/>
        <v>5-9 yrs (Senior)</v>
      </c>
      <c r="AM1258" t="str">
        <f t="shared" si="98"/>
        <v>Low (&lt;3K)</v>
      </c>
      <c r="AN1258" t="str">
        <f t="shared" si="99"/>
        <v>Normal</v>
      </c>
    </row>
    <row r="1259" spans="1:40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 t="shared" si="95"/>
        <v>1</v>
      </c>
      <c r="AK1259" t="str">
        <f t="shared" si="96"/>
        <v>25-34</v>
      </c>
      <c r="AL1259" t="str">
        <f t="shared" si="97"/>
        <v>0-1 yrs (New)</v>
      </c>
      <c r="AM1259" t="str">
        <f t="shared" si="98"/>
        <v>High (7K-12K)</v>
      </c>
      <c r="AN1259" t="str">
        <f t="shared" si="99"/>
        <v>Normal</v>
      </c>
    </row>
    <row r="1260" spans="1:40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 t="shared" si="95"/>
        <v>0</v>
      </c>
      <c r="AK1260" t="str">
        <f t="shared" si="96"/>
        <v>25-34</v>
      </c>
      <c r="AL1260" t="str">
        <f t="shared" si="97"/>
        <v>0-1 yrs (New)</v>
      </c>
      <c r="AM1260" t="str">
        <f t="shared" si="98"/>
        <v>Low (&lt;3K)</v>
      </c>
      <c r="AN1260" t="str">
        <f t="shared" si="99"/>
        <v>Normal</v>
      </c>
    </row>
    <row r="1261" spans="1:40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 t="shared" si="95"/>
        <v>0</v>
      </c>
      <c r="AK1261" t="str">
        <f t="shared" si="96"/>
        <v>25-34</v>
      </c>
      <c r="AL1261" t="str">
        <f t="shared" si="97"/>
        <v>5-9 yrs (Senior)</v>
      </c>
      <c r="AM1261" t="str">
        <f t="shared" si="98"/>
        <v>Mid (3K-7K)</v>
      </c>
      <c r="AN1261" t="str">
        <f t="shared" si="99"/>
        <v>Normal</v>
      </c>
    </row>
    <row r="1262" spans="1:40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 t="shared" si="95"/>
        <v>0</v>
      </c>
      <c r="AK1262" t="str">
        <f t="shared" si="96"/>
        <v>25-34</v>
      </c>
      <c r="AL1262" t="str">
        <f t="shared" si="97"/>
        <v>5-9 yrs (Senior)</v>
      </c>
      <c r="AM1262" t="str">
        <f t="shared" si="98"/>
        <v>Low (&lt;3K)</v>
      </c>
      <c r="AN1262" t="str">
        <f t="shared" si="99"/>
        <v>Normal</v>
      </c>
    </row>
    <row r="1263" spans="1:40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 t="shared" si="95"/>
        <v>0</v>
      </c>
      <c r="AK1263" t="str">
        <f t="shared" si="96"/>
        <v>35-44</v>
      </c>
      <c r="AL1263" t="str">
        <f t="shared" si="97"/>
        <v>0-1 yrs (New)</v>
      </c>
      <c r="AM1263" t="str">
        <f t="shared" si="98"/>
        <v>Mid (3K-7K)</v>
      </c>
      <c r="AN1263" t="str">
        <f t="shared" si="99"/>
        <v>Normal</v>
      </c>
    </row>
    <row r="1264" spans="1:40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 t="shared" si="95"/>
        <v>1</v>
      </c>
      <c r="AK1264" t="str">
        <f t="shared" si="96"/>
        <v>35-44</v>
      </c>
      <c r="AL1264" t="str">
        <f t="shared" si="97"/>
        <v>0-1 yrs (New)</v>
      </c>
      <c r="AM1264" t="str">
        <f t="shared" si="98"/>
        <v>Low (&lt;3K)</v>
      </c>
      <c r="AN1264" t="str">
        <f t="shared" si="99"/>
        <v>Normal</v>
      </c>
    </row>
    <row r="1265" spans="1:40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 t="shared" si="95"/>
        <v>0</v>
      </c>
      <c r="AK1265" t="str">
        <f t="shared" si="96"/>
        <v>35-44</v>
      </c>
      <c r="AL1265" t="str">
        <f t="shared" si="97"/>
        <v>5-9 yrs (Senior)</v>
      </c>
      <c r="AM1265" t="str">
        <f t="shared" si="98"/>
        <v>Low (&lt;3K)</v>
      </c>
      <c r="AN1265" t="str">
        <f t="shared" si="99"/>
        <v>Normal</v>
      </c>
    </row>
    <row r="1266" spans="1:40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 t="shared" si="95"/>
        <v>0</v>
      </c>
      <c r="AK1266" t="str">
        <f t="shared" si="96"/>
        <v>55+</v>
      </c>
      <c r="AL1266" t="str">
        <f t="shared" si="97"/>
        <v>0-1 yrs (New)</v>
      </c>
      <c r="AM1266" t="str">
        <f t="shared" si="98"/>
        <v>Very High (12K+)</v>
      </c>
      <c r="AN1266" t="str">
        <f t="shared" si="99"/>
        <v>Normal</v>
      </c>
    </row>
    <row r="1267" spans="1:40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 t="shared" si="95"/>
        <v>0</v>
      </c>
      <c r="AK1267" t="str">
        <f t="shared" si="96"/>
        <v>25-34</v>
      </c>
      <c r="AL1267" t="str">
        <f t="shared" si="97"/>
        <v>5-9 yrs (Senior)</v>
      </c>
      <c r="AM1267" t="str">
        <f t="shared" si="98"/>
        <v>Mid (3K-7K)</v>
      </c>
      <c r="AN1267" t="str">
        <f t="shared" si="99"/>
        <v>Normal</v>
      </c>
    </row>
    <row r="1268" spans="1:40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 t="shared" si="95"/>
        <v>0</v>
      </c>
      <c r="AK1268" t="str">
        <f t="shared" si="96"/>
        <v>35-44</v>
      </c>
      <c r="AL1268" t="str">
        <f t="shared" si="97"/>
        <v>5-9 yrs (Senior)</v>
      </c>
      <c r="AM1268" t="str">
        <f t="shared" si="98"/>
        <v>Low (&lt;3K)</v>
      </c>
      <c r="AN1268" t="str">
        <f t="shared" si="99"/>
        <v>Normal</v>
      </c>
    </row>
    <row r="1269" spans="1:40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 t="shared" si="95"/>
        <v>0</v>
      </c>
      <c r="AK1269" t="str">
        <f t="shared" si="96"/>
        <v>25-34</v>
      </c>
      <c r="AL1269" t="str">
        <f t="shared" si="97"/>
        <v>10+ yrs (Veteran)</v>
      </c>
      <c r="AM1269" t="str">
        <f t="shared" si="98"/>
        <v>Mid (3K-7K)</v>
      </c>
      <c r="AN1269" t="str">
        <f t="shared" si="99"/>
        <v>Normal</v>
      </c>
    </row>
    <row r="1270" spans="1:40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 t="shared" si="95"/>
        <v>0</v>
      </c>
      <c r="AK1270" t="str">
        <f t="shared" si="96"/>
        <v>45-54</v>
      </c>
      <c r="AL1270" t="str">
        <f t="shared" si="97"/>
        <v>2-4 yrs (Mid)</v>
      </c>
      <c r="AM1270" t="str">
        <f t="shared" si="98"/>
        <v>Very High (12K+)</v>
      </c>
      <c r="AN1270" t="str">
        <f t="shared" si="99"/>
        <v>Normal</v>
      </c>
    </row>
    <row r="1271" spans="1:40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 t="shared" si="95"/>
        <v>0</v>
      </c>
      <c r="AK1271" t="str">
        <f t="shared" si="96"/>
        <v>35-44</v>
      </c>
      <c r="AL1271" t="str">
        <f t="shared" si="97"/>
        <v>5-9 yrs (Senior)</v>
      </c>
      <c r="AM1271" t="str">
        <f t="shared" si="98"/>
        <v>Mid (3K-7K)</v>
      </c>
      <c r="AN1271" t="str">
        <f t="shared" si="99"/>
        <v>Normal</v>
      </c>
    </row>
    <row r="1272" spans="1:40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 t="shared" si="95"/>
        <v>0</v>
      </c>
      <c r="AK1272" t="str">
        <f t="shared" si="96"/>
        <v>25-34</v>
      </c>
      <c r="AL1272" t="str">
        <f t="shared" si="97"/>
        <v>2-4 yrs (Mid)</v>
      </c>
      <c r="AM1272" t="str">
        <f t="shared" si="98"/>
        <v>Mid (3K-7K)</v>
      </c>
      <c r="AN1272" t="str">
        <f t="shared" si="99"/>
        <v>Normal</v>
      </c>
    </row>
    <row r="1273" spans="1:40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 t="shared" si="95"/>
        <v>1</v>
      </c>
      <c r="AK1273" t="str">
        <f t="shared" si="96"/>
        <v>Under 25</v>
      </c>
      <c r="AL1273" t="str">
        <f t="shared" si="97"/>
        <v>0-1 yrs (New)</v>
      </c>
      <c r="AM1273" t="str">
        <f t="shared" si="98"/>
        <v>Low (&lt;3K)</v>
      </c>
      <c r="AN1273" t="str">
        <f t="shared" si="99"/>
        <v>Normal</v>
      </c>
    </row>
    <row r="1274" spans="1:40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 t="shared" si="95"/>
        <v>0</v>
      </c>
      <c r="AK1274" t="str">
        <f t="shared" si="96"/>
        <v>35-44</v>
      </c>
      <c r="AL1274" t="str">
        <f t="shared" si="97"/>
        <v>5-9 yrs (Senior)</v>
      </c>
      <c r="AM1274" t="str">
        <f t="shared" si="98"/>
        <v>Mid (3K-7K)</v>
      </c>
      <c r="AN1274" t="str">
        <f t="shared" si="99"/>
        <v>Normal</v>
      </c>
    </row>
    <row r="1275" spans="1:40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 t="shared" si="95"/>
        <v>1</v>
      </c>
      <c r="AK1275" t="str">
        <f t="shared" si="96"/>
        <v>Under 25</v>
      </c>
      <c r="AL1275" t="str">
        <f t="shared" si="97"/>
        <v>0-1 yrs (New)</v>
      </c>
      <c r="AM1275" t="str">
        <f t="shared" si="98"/>
        <v>Low (&lt;3K)</v>
      </c>
      <c r="AN1275" t="str">
        <f t="shared" si="99"/>
        <v>High Risk</v>
      </c>
    </row>
    <row r="1276" spans="1:40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 t="shared" si="95"/>
        <v>0</v>
      </c>
      <c r="AK1276" t="str">
        <f t="shared" si="96"/>
        <v>25-34</v>
      </c>
      <c r="AL1276" t="str">
        <f t="shared" si="97"/>
        <v>10+ yrs (Veteran)</v>
      </c>
      <c r="AM1276" t="str">
        <f t="shared" si="98"/>
        <v>Mid (3K-7K)</v>
      </c>
      <c r="AN1276" t="str">
        <f t="shared" si="99"/>
        <v>Normal</v>
      </c>
    </row>
    <row r="1277" spans="1:40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 t="shared" si="95"/>
        <v>0</v>
      </c>
      <c r="AK1277" t="str">
        <f t="shared" si="96"/>
        <v>45-54</v>
      </c>
      <c r="AL1277" t="str">
        <f t="shared" si="97"/>
        <v>2-4 yrs (Mid)</v>
      </c>
      <c r="AM1277" t="str">
        <f t="shared" si="98"/>
        <v>Very High (12K+)</v>
      </c>
      <c r="AN1277" t="str">
        <f t="shared" si="99"/>
        <v>Normal</v>
      </c>
    </row>
    <row r="1278" spans="1:40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 t="shared" si="95"/>
        <v>0</v>
      </c>
      <c r="AK1278" t="str">
        <f t="shared" si="96"/>
        <v>35-44</v>
      </c>
      <c r="AL1278" t="str">
        <f t="shared" si="97"/>
        <v>5-9 yrs (Senior)</v>
      </c>
      <c r="AM1278" t="str">
        <f t="shared" si="98"/>
        <v>Mid (3K-7K)</v>
      </c>
      <c r="AN1278" t="str">
        <f t="shared" si="99"/>
        <v>Normal</v>
      </c>
    </row>
    <row r="1279" spans="1:40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 t="shared" si="95"/>
        <v>0</v>
      </c>
      <c r="AK1279" t="str">
        <f t="shared" si="96"/>
        <v>45-54</v>
      </c>
      <c r="AL1279" t="str">
        <f t="shared" si="97"/>
        <v>2-4 yrs (Mid)</v>
      </c>
      <c r="AM1279" t="str">
        <f t="shared" si="98"/>
        <v>Very High (12K+)</v>
      </c>
      <c r="AN1279" t="str">
        <f t="shared" si="99"/>
        <v>Normal</v>
      </c>
    </row>
    <row r="1280" spans="1:40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 t="shared" si="95"/>
        <v>0</v>
      </c>
      <c r="AK1280" t="str">
        <f t="shared" si="96"/>
        <v>35-44</v>
      </c>
      <c r="AL1280" t="str">
        <f t="shared" si="97"/>
        <v>10+ yrs (Veteran)</v>
      </c>
      <c r="AM1280" t="str">
        <f t="shared" si="98"/>
        <v>High (7K-12K)</v>
      </c>
      <c r="AN1280" t="str">
        <f t="shared" si="99"/>
        <v>High Risk</v>
      </c>
    </row>
    <row r="1281" spans="1:40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 t="shared" si="95"/>
        <v>1</v>
      </c>
      <c r="AK1281" t="str">
        <f t="shared" si="96"/>
        <v>35-44</v>
      </c>
      <c r="AL1281" t="str">
        <f t="shared" si="97"/>
        <v>5-9 yrs (Senior)</v>
      </c>
      <c r="AM1281" t="str">
        <f t="shared" si="98"/>
        <v>Low (&lt;3K)</v>
      </c>
      <c r="AN1281" t="str">
        <f t="shared" si="99"/>
        <v>High Risk</v>
      </c>
    </row>
    <row r="1282" spans="1:40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 t="shared" si="95"/>
        <v>0</v>
      </c>
      <c r="AK1282" t="str">
        <f t="shared" si="96"/>
        <v>35-44</v>
      </c>
      <c r="AL1282" t="str">
        <f t="shared" si="97"/>
        <v>10+ yrs (Veteran)</v>
      </c>
      <c r="AM1282" t="str">
        <f t="shared" si="98"/>
        <v>Mid (3K-7K)</v>
      </c>
      <c r="AN1282" t="str">
        <f t="shared" si="99"/>
        <v>Normal</v>
      </c>
    </row>
    <row r="1283" spans="1:40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 t="shared" ref="AJ1283:AJ1346" si="100">IF(B1283="Yes", 1, 0)</f>
        <v>1</v>
      </c>
      <c r="AK1283" t="str">
        <f t="shared" ref="AK1283:AK1346" si="101">IF(A1283&lt;25, "Under 25", IF(A1283&lt;35, "25-34", IF(A1283&lt;45, "35-44", IF(A1283&lt;55, "45-54", "55+"))))</f>
        <v>35-44</v>
      </c>
      <c r="AL1283" t="str">
        <f t="shared" ref="AL1283:AL1346" si="102">IF(AF1283&lt;2, "0-1 yrs (New)", IF(AF1283&lt;5, "2-4 yrs (Mid)", IF(AF1283&lt;10, "5-9 yrs (Senior)", "10+ yrs (Veteran)")))</f>
        <v>10+ yrs (Veteran)</v>
      </c>
      <c r="AM1283" t="str">
        <f t="shared" ref="AM1283:AM1346" si="103">IF(S1283&lt;3000, "Low (&lt;3K)", IF(S1283&lt;7000, "Mid (3K-7K)", IF(S1283&lt;12000, "High (7K-12K)", "Very High (12K+)")))</f>
        <v>Mid (3K-7K)</v>
      </c>
      <c r="AN1283" t="str">
        <f t="shared" ref="AN1283:AN1346" si="104">IF(AND(W1283="Yes", Q1283&lt;=2), "High Risk", "Normal")</f>
        <v>Normal</v>
      </c>
    </row>
    <row r="1284" spans="1:40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 t="shared" si="100"/>
        <v>0</v>
      </c>
      <c r="AK1284" t="str">
        <f t="shared" si="101"/>
        <v>25-34</v>
      </c>
      <c r="AL1284" t="str">
        <f t="shared" si="102"/>
        <v>10+ yrs (Veteran)</v>
      </c>
      <c r="AM1284" t="str">
        <f t="shared" si="103"/>
        <v>Mid (3K-7K)</v>
      </c>
      <c r="AN1284" t="str">
        <f t="shared" si="104"/>
        <v>Normal</v>
      </c>
    </row>
    <row r="1285" spans="1:40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 t="shared" si="100"/>
        <v>0</v>
      </c>
      <c r="AK1285" t="str">
        <f t="shared" si="101"/>
        <v>25-34</v>
      </c>
      <c r="AL1285" t="str">
        <f t="shared" si="102"/>
        <v>5-9 yrs (Senior)</v>
      </c>
      <c r="AM1285" t="str">
        <f t="shared" si="103"/>
        <v>Low (&lt;3K)</v>
      </c>
      <c r="AN1285" t="str">
        <f t="shared" si="104"/>
        <v>Normal</v>
      </c>
    </row>
    <row r="1286" spans="1:40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 t="shared" si="100"/>
        <v>0</v>
      </c>
      <c r="AK1286" t="str">
        <f t="shared" si="101"/>
        <v>35-44</v>
      </c>
      <c r="AL1286" t="str">
        <f t="shared" si="102"/>
        <v>2-4 yrs (Mid)</v>
      </c>
      <c r="AM1286" t="str">
        <f t="shared" si="103"/>
        <v>Very High (12K+)</v>
      </c>
      <c r="AN1286" t="str">
        <f t="shared" si="104"/>
        <v>Normal</v>
      </c>
    </row>
    <row r="1287" spans="1:40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 t="shared" si="100"/>
        <v>0</v>
      </c>
      <c r="AK1287" t="str">
        <f t="shared" si="101"/>
        <v>45-54</v>
      </c>
      <c r="AL1287" t="str">
        <f t="shared" si="102"/>
        <v>2-4 yrs (Mid)</v>
      </c>
      <c r="AM1287" t="str">
        <f t="shared" si="103"/>
        <v>High (7K-12K)</v>
      </c>
      <c r="AN1287" t="str">
        <f t="shared" si="104"/>
        <v>Normal</v>
      </c>
    </row>
    <row r="1288" spans="1:40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 t="shared" si="100"/>
        <v>0</v>
      </c>
      <c r="AK1288" t="str">
        <f t="shared" si="101"/>
        <v>35-44</v>
      </c>
      <c r="AL1288" t="str">
        <f t="shared" si="102"/>
        <v>2-4 yrs (Mid)</v>
      </c>
      <c r="AM1288" t="str">
        <f t="shared" si="103"/>
        <v>Mid (3K-7K)</v>
      </c>
      <c r="AN1288" t="str">
        <f t="shared" si="104"/>
        <v>Normal</v>
      </c>
    </row>
    <row r="1289" spans="1:40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 t="shared" si="100"/>
        <v>0</v>
      </c>
      <c r="AK1289" t="str">
        <f t="shared" si="101"/>
        <v>35-44</v>
      </c>
      <c r="AL1289" t="str">
        <f t="shared" si="102"/>
        <v>0-1 yrs (New)</v>
      </c>
      <c r="AM1289" t="str">
        <f t="shared" si="103"/>
        <v>Mid (3K-7K)</v>
      </c>
      <c r="AN1289" t="str">
        <f t="shared" si="104"/>
        <v>Normal</v>
      </c>
    </row>
    <row r="1290" spans="1:40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 t="shared" si="100"/>
        <v>0</v>
      </c>
      <c r="AK1290" t="str">
        <f t="shared" si="101"/>
        <v>35-44</v>
      </c>
      <c r="AL1290" t="str">
        <f t="shared" si="102"/>
        <v>5-9 yrs (Senior)</v>
      </c>
      <c r="AM1290" t="str">
        <f t="shared" si="103"/>
        <v>Mid (3K-7K)</v>
      </c>
      <c r="AN1290" t="str">
        <f t="shared" si="104"/>
        <v>Normal</v>
      </c>
    </row>
    <row r="1291" spans="1:40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 t="shared" si="100"/>
        <v>0</v>
      </c>
      <c r="AK1291" t="str">
        <f t="shared" si="101"/>
        <v>35-44</v>
      </c>
      <c r="AL1291" t="str">
        <f t="shared" si="102"/>
        <v>10+ yrs (Veteran)</v>
      </c>
      <c r="AM1291" t="str">
        <f t="shared" si="103"/>
        <v>Low (&lt;3K)</v>
      </c>
      <c r="AN1291" t="str">
        <f t="shared" si="104"/>
        <v>Normal</v>
      </c>
    </row>
    <row r="1292" spans="1:40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 t="shared" si="100"/>
        <v>1</v>
      </c>
      <c r="AK1292" t="str">
        <f t="shared" si="101"/>
        <v>25-34</v>
      </c>
      <c r="AL1292" t="str">
        <f t="shared" si="102"/>
        <v>5-9 yrs (Senior)</v>
      </c>
      <c r="AM1292" t="str">
        <f t="shared" si="103"/>
        <v>Mid (3K-7K)</v>
      </c>
      <c r="AN1292" t="str">
        <f t="shared" si="104"/>
        <v>Normal</v>
      </c>
    </row>
    <row r="1293" spans="1:40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 t="shared" si="100"/>
        <v>1</v>
      </c>
      <c r="AK1293" t="str">
        <f t="shared" si="101"/>
        <v>35-44</v>
      </c>
      <c r="AL1293" t="str">
        <f t="shared" si="102"/>
        <v>10+ yrs (Veteran)</v>
      </c>
      <c r="AM1293" t="str">
        <f t="shared" si="103"/>
        <v>Mid (3K-7K)</v>
      </c>
      <c r="AN1293" t="str">
        <f t="shared" si="104"/>
        <v>Normal</v>
      </c>
    </row>
    <row r="1294" spans="1:40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 t="shared" si="100"/>
        <v>0</v>
      </c>
      <c r="AK1294" t="str">
        <f t="shared" si="101"/>
        <v>35-44</v>
      </c>
      <c r="AL1294" t="str">
        <f t="shared" si="102"/>
        <v>2-4 yrs (Mid)</v>
      </c>
      <c r="AM1294" t="str">
        <f t="shared" si="103"/>
        <v>Mid (3K-7K)</v>
      </c>
      <c r="AN1294" t="str">
        <f t="shared" si="104"/>
        <v>Normal</v>
      </c>
    </row>
    <row r="1295" spans="1:40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 t="shared" si="100"/>
        <v>0</v>
      </c>
      <c r="AK1295" t="str">
        <f t="shared" si="101"/>
        <v>35-44</v>
      </c>
      <c r="AL1295" t="str">
        <f t="shared" si="102"/>
        <v>2-4 yrs (Mid)</v>
      </c>
      <c r="AM1295" t="str">
        <f t="shared" si="103"/>
        <v>Low (&lt;3K)</v>
      </c>
      <c r="AN1295" t="str">
        <f t="shared" si="104"/>
        <v>Normal</v>
      </c>
    </row>
    <row r="1296" spans="1:40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 t="shared" si="100"/>
        <v>0</v>
      </c>
      <c r="AK1296" t="str">
        <f t="shared" si="101"/>
        <v>35-44</v>
      </c>
      <c r="AL1296" t="str">
        <f t="shared" si="102"/>
        <v>2-4 yrs (Mid)</v>
      </c>
      <c r="AM1296" t="str">
        <f t="shared" si="103"/>
        <v>Mid (3K-7K)</v>
      </c>
      <c r="AN1296" t="str">
        <f t="shared" si="104"/>
        <v>Normal</v>
      </c>
    </row>
    <row r="1297" spans="1:40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 t="shared" si="100"/>
        <v>0</v>
      </c>
      <c r="AK1297" t="str">
        <f t="shared" si="101"/>
        <v>35-44</v>
      </c>
      <c r="AL1297" t="str">
        <f t="shared" si="102"/>
        <v>10+ yrs (Veteran)</v>
      </c>
      <c r="AM1297" t="str">
        <f t="shared" si="103"/>
        <v>High (7K-12K)</v>
      </c>
      <c r="AN1297" t="str">
        <f t="shared" si="104"/>
        <v>Normal</v>
      </c>
    </row>
    <row r="1298" spans="1:40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 t="shared" si="100"/>
        <v>0</v>
      </c>
      <c r="AK1298" t="str">
        <f t="shared" si="101"/>
        <v>25-34</v>
      </c>
      <c r="AL1298" t="str">
        <f t="shared" si="102"/>
        <v>5-9 yrs (Senior)</v>
      </c>
      <c r="AM1298" t="str">
        <f t="shared" si="103"/>
        <v>High (7K-12K)</v>
      </c>
      <c r="AN1298" t="str">
        <f t="shared" si="104"/>
        <v>Normal</v>
      </c>
    </row>
    <row r="1299" spans="1:40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 t="shared" si="100"/>
        <v>1</v>
      </c>
      <c r="AK1299" t="str">
        <f t="shared" si="101"/>
        <v>25-34</v>
      </c>
      <c r="AL1299" t="str">
        <f t="shared" si="102"/>
        <v>5-9 yrs (Senior)</v>
      </c>
      <c r="AM1299" t="str">
        <f t="shared" si="103"/>
        <v>Low (&lt;3K)</v>
      </c>
      <c r="AN1299" t="str">
        <f t="shared" si="104"/>
        <v>High Risk</v>
      </c>
    </row>
    <row r="1300" spans="1:40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 t="shared" si="100"/>
        <v>1</v>
      </c>
      <c r="AK1300" t="str">
        <f t="shared" si="101"/>
        <v>45-54</v>
      </c>
      <c r="AL1300" t="str">
        <f t="shared" si="102"/>
        <v>5-9 yrs (Senior)</v>
      </c>
      <c r="AM1300" t="str">
        <f t="shared" si="103"/>
        <v>High (7K-12K)</v>
      </c>
      <c r="AN1300" t="str">
        <f t="shared" si="104"/>
        <v>Normal</v>
      </c>
    </row>
    <row r="1301" spans="1:40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 t="shared" si="100"/>
        <v>0</v>
      </c>
      <c r="AK1301" t="str">
        <f t="shared" si="101"/>
        <v>35-44</v>
      </c>
      <c r="AL1301" t="str">
        <f t="shared" si="102"/>
        <v>5-9 yrs (Senior)</v>
      </c>
      <c r="AM1301" t="str">
        <f t="shared" si="103"/>
        <v>Mid (3K-7K)</v>
      </c>
      <c r="AN1301" t="str">
        <f t="shared" si="104"/>
        <v>Normal</v>
      </c>
    </row>
    <row r="1302" spans="1:40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 t="shared" si="100"/>
        <v>0</v>
      </c>
      <c r="AK1302" t="str">
        <f t="shared" si="101"/>
        <v>25-34</v>
      </c>
      <c r="AL1302" t="str">
        <f t="shared" si="102"/>
        <v>10+ yrs (Veteran)</v>
      </c>
      <c r="AM1302" t="str">
        <f t="shared" si="103"/>
        <v>Mid (3K-7K)</v>
      </c>
      <c r="AN1302" t="str">
        <f t="shared" si="104"/>
        <v>Normal</v>
      </c>
    </row>
    <row r="1303" spans="1:40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 t="shared" si="100"/>
        <v>0</v>
      </c>
      <c r="AK1303" t="str">
        <f t="shared" si="101"/>
        <v>55+</v>
      </c>
      <c r="AL1303" t="str">
        <f t="shared" si="102"/>
        <v>10+ yrs (Veteran)</v>
      </c>
      <c r="AM1303" t="str">
        <f t="shared" si="103"/>
        <v>Very High (12K+)</v>
      </c>
      <c r="AN1303" t="str">
        <f t="shared" si="104"/>
        <v>Normal</v>
      </c>
    </row>
    <row r="1304" spans="1:40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 t="shared" si="100"/>
        <v>0</v>
      </c>
      <c r="AK1304" t="str">
        <f t="shared" si="101"/>
        <v>35-44</v>
      </c>
      <c r="AL1304" t="str">
        <f t="shared" si="102"/>
        <v>5-9 yrs (Senior)</v>
      </c>
      <c r="AM1304" t="str">
        <f t="shared" si="103"/>
        <v>Low (&lt;3K)</v>
      </c>
      <c r="AN1304" t="str">
        <f t="shared" si="104"/>
        <v>Normal</v>
      </c>
    </row>
    <row r="1305" spans="1:40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 t="shared" si="100"/>
        <v>0</v>
      </c>
      <c r="AK1305" t="str">
        <f t="shared" si="101"/>
        <v>45-54</v>
      </c>
      <c r="AL1305" t="str">
        <f t="shared" si="102"/>
        <v>10+ yrs (Veteran)</v>
      </c>
      <c r="AM1305" t="str">
        <f t="shared" si="103"/>
        <v>High (7K-12K)</v>
      </c>
      <c r="AN1305" t="str">
        <f t="shared" si="104"/>
        <v>High Risk</v>
      </c>
    </row>
    <row r="1306" spans="1:40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 t="shared" si="100"/>
        <v>0</v>
      </c>
      <c r="AK1306" t="str">
        <f t="shared" si="101"/>
        <v>35-44</v>
      </c>
      <c r="AL1306" t="str">
        <f t="shared" si="102"/>
        <v>5-9 yrs (Senior)</v>
      </c>
      <c r="AM1306" t="str">
        <f t="shared" si="103"/>
        <v>Mid (3K-7K)</v>
      </c>
      <c r="AN1306" t="str">
        <f t="shared" si="104"/>
        <v>Normal</v>
      </c>
    </row>
    <row r="1307" spans="1:40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 t="shared" si="100"/>
        <v>0</v>
      </c>
      <c r="AK1307" t="str">
        <f t="shared" si="101"/>
        <v>45-54</v>
      </c>
      <c r="AL1307" t="str">
        <f t="shared" si="102"/>
        <v>5-9 yrs (Senior)</v>
      </c>
      <c r="AM1307" t="str">
        <f t="shared" si="103"/>
        <v>Mid (3K-7K)</v>
      </c>
      <c r="AN1307" t="str">
        <f t="shared" si="104"/>
        <v>Normal</v>
      </c>
    </row>
    <row r="1308" spans="1:40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 t="shared" si="100"/>
        <v>0</v>
      </c>
      <c r="AK1308" t="str">
        <f t="shared" si="101"/>
        <v>25-34</v>
      </c>
      <c r="AL1308" t="str">
        <f t="shared" si="102"/>
        <v>2-4 yrs (Mid)</v>
      </c>
      <c r="AM1308" t="str">
        <f t="shared" si="103"/>
        <v>High (7K-12K)</v>
      </c>
      <c r="AN1308" t="str">
        <f t="shared" si="104"/>
        <v>Normal</v>
      </c>
    </row>
    <row r="1309" spans="1:40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 t="shared" si="100"/>
        <v>0</v>
      </c>
      <c r="AK1309" t="str">
        <f t="shared" si="101"/>
        <v>25-34</v>
      </c>
      <c r="AL1309" t="str">
        <f t="shared" si="102"/>
        <v>2-4 yrs (Mid)</v>
      </c>
      <c r="AM1309" t="str">
        <f t="shared" si="103"/>
        <v>Mid (3K-7K)</v>
      </c>
      <c r="AN1309" t="str">
        <f t="shared" si="104"/>
        <v>Normal</v>
      </c>
    </row>
    <row r="1310" spans="1:40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 t="shared" si="100"/>
        <v>0</v>
      </c>
      <c r="AK1310" t="str">
        <f t="shared" si="101"/>
        <v>35-44</v>
      </c>
      <c r="AL1310" t="str">
        <f t="shared" si="102"/>
        <v>2-4 yrs (Mid)</v>
      </c>
      <c r="AM1310" t="str">
        <f t="shared" si="103"/>
        <v>Mid (3K-7K)</v>
      </c>
      <c r="AN1310" t="str">
        <f t="shared" si="104"/>
        <v>Normal</v>
      </c>
    </row>
    <row r="1311" spans="1:40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 t="shared" si="100"/>
        <v>0</v>
      </c>
      <c r="AK1311" t="str">
        <f t="shared" si="101"/>
        <v>25-34</v>
      </c>
      <c r="AL1311" t="str">
        <f t="shared" si="102"/>
        <v>5-9 yrs (Senior)</v>
      </c>
      <c r="AM1311" t="str">
        <f t="shared" si="103"/>
        <v>Mid (3K-7K)</v>
      </c>
      <c r="AN1311" t="str">
        <f t="shared" si="104"/>
        <v>Normal</v>
      </c>
    </row>
    <row r="1312" spans="1:40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 t="shared" si="100"/>
        <v>0</v>
      </c>
      <c r="AK1312" t="str">
        <f t="shared" si="101"/>
        <v>55+</v>
      </c>
      <c r="AL1312" t="str">
        <f t="shared" si="102"/>
        <v>2-4 yrs (Mid)</v>
      </c>
      <c r="AM1312" t="str">
        <f t="shared" si="103"/>
        <v>Very High (12K+)</v>
      </c>
      <c r="AN1312" t="str">
        <f t="shared" si="104"/>
        <v>Normal</v>
      </c>
    </row>
    <row r="1313" spans="1:40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 t="shared" si="100"/>
        <v>0</v>
      </c>
      <c r="AK1313" t="str">
        <f t="shared" si="101"/>
        <v>Under 25</v>
      </c>
      <c r="AL1313" t="str">
        <f t="shared" si="102"/>
        <v>0-1 yrs (New)</v>
      </c>
      <c r="AM1313" t="str">
        <f t="shared" si="103"/>
        <v>Low (&lt;3K)</v>
      </c>
      <c r="AN1313" t="str">
        <f t="shared" si="104"/>
        <v>Normal</v>
      </c>
    </row>
    <row r="1314" spans="1:40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 t="shared" si="100"/>
        <v>1</v>
      </c>
      <c r="AK1314" t="str">
        <f t="shared" si="101"/>
        <v>25-34</v>
      </c>
      <c r="AL1314" t="str">
        <f t="shared" si="102"/>
        <v>0-1 yrs (New)</v>
      </c>
      <c r="AM1314" t="str">
        <f t="shared" si="103"/>
        <v>Low (&lt;3K)</v>
      </c>
      <c r="AN1314" t="str">
        <f t="shared" si="104"/>
        <v>Normal</v>
      </c>
    </row>
    <row r="1315" spans="1:40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 t="shared" si="100"/>
        <v>1</v>
      </c>
      <c r="AK1315" t="str">
        <f t="shared" si="101"/>
        <v>25-34</v>
      </c>
      <c r="AL1315" t="str">
        <f t="shared" si="102"/>
        <v>2-4 yrs (Mid)</v>
      </c>
      <c r="AM1315" t="str">
        <f t="shared" si="103"/>
        <v>Low (&lt;3K)</v>
      </c>
      <c r="AN1315" t="str">
        <f t="shared" si="104"/>
        <v>High Risk</v>
      </c>
    </row>
    <row r="1316" spans="1:40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 t="shared" si="100"/>
        <v>0</v>
      </c>
      <c r="AK1316" t="str">
        <f t="shared" si="101"/>
        <v>45-54</v>
      </c>
      <c r="AL1316" t="str">
        <f t="shared" si="102"/>
        <v>5-9 yrs (Senior)</v>
      </c>
      <c r="AM1316" t="str">
        <f t="shared" si="103"/>
        <v>Mid (3K-7K)</v>
      </c>
      <c r="AN1316" t="str">
        <f t="shared" si="104"/>
        <v>Normal</v>
      </c>
    </row>
    <row r="1317" spans="1:40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 t="shared" si="100"/>
        <v>0</v>
      </c>
      <c r="AK1317" t="str">
        <f t="shared" si="101"/>
        <v>35-44</v>
      </c>
      <c r="AL1317" t="str">
        <f t="shared" si="102"/>
        <v>0-1 yrs (New)</v>
      </c>
      <c r="AM1317" t="str">
        <f t="shared" si="103"/>
        <v>Mid (3K-7K)</v>
      </c>
      <c r="AN1317" t="str">
        <f t="shared" si="104"/>
        <v>High Risk</v>
      </c>
    </row>
    <row r="1318" spans="1:40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 t="shared" si="100"/>
        <v>0</v>
      </c>
      <c r="AK1318" t="str">
        <f t="shared" si="101"/>
        <v>35-44</v>
      </c>
      <c r="AL1318" t="str">
        <f t="shared" si="102"/>
        <v>5-9 yrs (Senior)</v>
      </c>
      <c r="AM1318" t="str">
        <f t="shared" si="103"/>
        <v>Mid (3K-7K)</v>
      </c>
      <c r="AN1318" t="str">
        <f t="shared" si="104"/>
        <v>Normal</v>
      </c>
    </row>
    <row r="1319" spans="1:40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 t="shared" si="100"/>
        <v>0</v>
      </c>
      <c r="AK1319" t="str">
        <f t="shared" si="101"/>
        <v>25-34</v>
      </c>
      <c r="AL1319" t="str">
        <f t="shared" si="102"/>
        <v>5-9 yrs (Senior)</v>
      </c>
      <c r="AM1319" t="str">
        <f t="shared" si="103"/>
        <v>Low (&lt;3K)</v>
      </c>
      <c r="AN1319" t="str">
        <f t="shared" si="104"/>
        <v>Normal</v>
      </c>
    </row>
    <row r="1320" spans="1:40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 t="shared" si="100"/>
        <v>0</v>
      </c>
      <c r="AK1320" t="str">
        <f t="shared" si="101"/>
        <v>25-34</v>
      </c>
      <c r="AL1320" t="str">
        <f t="shared" si="102"/>
        <v>10+ yrs (Veteran)</v>
      </c>
      <c r="AM1320" t="str">
        <f t="shared" si="103"/>
        <v>Mid (3K-7K)</v>
      </c>
      <c r="AN1320" t="str">
        <f t="shared" si="104"/>
        <v>Normal</v>
      </c>
    </row>
    <row r="1321" spans="1:40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 t="shared" si="100"/>
        <v>0</v>
      </c>
      <c r="AK1321" t="str">
        <f t="shared" si="101"/>
        <v>25-34</v>
      </c>
      <c r="AL1321" t="str">
        <f t="shared" si="102"/>
        <v>0-1 yrs (New)</v>
      </c>
      <c r="AM1321" t="str">
        <f t="shared" si="103"/>
        <v>Mid (3K-7K)</v>
      </c>
      <c r="AN1321" t="str">
        <f t="shared" si="104"/>
        <v>Normal</v>
      </c>
    </row>
    <row r="1322" spans="1:40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 t="shared" si="100"/>
        <v>0</v>
      </c>
      <c r="AK1322" t="str">
        <f t="shared" si="101"/>
        <v>35-44</v>
      </c>
      <c r="AL1322" t="str">
        <f t="shared" si="102"/>
        <v>5-9 yrs (Senior)</v>
      </c>
      <c r="AM1322" t="str">
        <f t="shared" si="103"/>
        <v>Low (&lt;3K)</v>
      </c>
      <c r="AN1322" t="str">
        <f t="shared" si="104"/>
        <v>Normal</v>
      </c>
    </row>
    <row r="1323" spans="1:40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 t="shared" si="100"/>
        <v>0</v>
      </c>
      <c r="AK1323" t="str">
        <f t="shared" si="101"/>
        <v>45-54</v>
      </c>
      <c r="AL1323" t="str">
        <f t="shared" si="102"/>
        <v>2-4 yrs (Mid)</v>
      </c>
      <c r="AM1323" t="str">
        <f t="shared" si="103"/>
        <v>Low (&lt;3K)</v>
      </c>
      <c r="AN1323" t="str">
        <f t="shared" si="104"/>
        <v>Normal</v>
      </c>
    </row>
    <row r="1324" spans="1:40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 t="shared" si="100"/>
        <v>0</v>
      </c>
      <c r="AK1324" t="str">
        <f t="shared" si="101"/>
        <v>45-54</v>
      </c>
      <c r="AL1324" t="str">
        <f t="shared" si="102"/>
        <v>5-9 yrs (Senior)</v>
      </c>
      <c r="AM1324" t="str">
        <f t="shared" si="103"/>
        <v>High (7K-12K)</v>
      </c>
      <c r="AN1324" t="str">
        <f t="shared" si="104"/>
        <v>Normal</v>
      </c>
    </row>
    <row r="1325" spans="1:40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 t="shared" si="100"/>
        <v>0</v>
      </c>
      <c r="AK1325" t="str">
        <f t="shared" si="101"/>
        <v>25-34</v>
      </c>
      <c r="AL1325" t="str">
        <f t="shared" si="102"/>
        <v>2-4 yrs (Mid)</v>
      </c>
      <c r="AM1325" t="str">
        <f t="shared" si="103"/>
        <v>Low (&lt;3K)</v>
      </c>
      <c r="AN1325" t="str">
        <f t="shared" si="104"/>
        <v>Normal</v>
      </c>
    </row>
    <row r="1326" spans="1:40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 t="shared" si="100"/>
        <v>0</v>
      </c>
      <c r="AK1326" t="str">
        <f t="shared" si="101"/>
        <v>25-34</v>
      </c>
      <c r="AL1326" t="str">
        <f t="shared" si="102"/>
        <v>5-9 yrs (Senior)</v>
      </c>
      <c r="AM1326" t="str">
        <f t="shared" si="103"/>
        <v>Mid (3K-7K)</v>
      </c>
      <c r="AN1326" t="str">
        <f t="shared" si="104"/>
        <v>Normal</v>
      </c>
    </row>
    <row r="1327" spans="1:40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 t="shared" si="100"/>
        <v>0</v>
      </c>
      <c r="AK1327" t="str">
        <f t="shared" si="101"/>
        <v>35-44</v>
      </c>
      <c r="AL1327" t="str">
        <f t="shared" si="102"/>
        <v>0-1 yrs (New)</v>
      </c>
      <c r="AM1327" t="str">
        <f t="shared" si="103"/>
        <v>Mid (3K-7K)</v>
      </c>
      <c r="AN1327" t="str">
        <f t="shared" si="104"/>
        <v>Normal</v>
      </c>
    </row>
    <row r="1328" spans="1:40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 t="shared" si="100"/>
        <v>1</v>
      </c>
      <c r="AK1328" t="str">
        <f t="shared" si="101"/>
        <v>25-34</v>
      </c>
      <c r="AL1328" t="str">
        <f t="shared" si="102"/>
        <v>2-4 yrs (Mid)</v>
      </c>
      <c r="AM1328" t="str">
        <f t="shared" si="103"/>
        <v>High (7K-12K)</v>
      </c>
      <c r="AN1328" t="str">
        <f t="shared" si="104"/>
        <v>High Risk</v>
      </c>
    </row>
    <row r="1329" spans="1:40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 t="shared" si="100"/>
        <v>0</v>
      </c>
      <c r="AK1329" t="str">
        <f t="shared" si="101"/>
        <v>45-54</v>
      </c>
      <c r="AL1329" t="str">
        <f t="shared" si="102"/>
        <v>10+ yrs (Veteran)</v>
      </c>
      <c r="AM1329" t="str">
        <f t="shared" si="103"/>
        <v>Very High (12K+)</v>
      </c>
      <c r="AN1329" t="str">
        <f t="shared" si="104"/>
        <v>Normal</v>
      </c>
    </row>
    <row r="1330" spans="1:40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 t="shared" si="100"/>
        <v>0</v>
      </c>
      <c r="AK1330" t="str">
        <f t="shared" si="101"/>
        <v>25-34</v>
      </c>
      <c r="AL1330" t="str">
        <f t="shared" si="102"/>
        <v>5-9 yrs (Senior)</v>
      </c>
      <c r="AM1330" t="str">
        <f t="shared" si="103"/>
        <v>Mid (3K-7K)</v>
      </c>
      <c r="AN1330" t="str">
        <f t="shared" si="104"/>
        <v>Normal</v>
      </c>
    </row>
    <row r="1331" spans="1:40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 t="shared" si="100"/>
        <v>0</v>
      </c>
      <c r="AK1331" t="str">
        <f t="shared" si="101"/>
        <v>25-34</v>
      </c>
      <c r="AL1331" t="str">
        <f t="shared" si="102"/>
        <v>0-1 yrs (New)</v>
      </c>
      <c r="AM1331" t="str">
        <f t="shared" si="103"/>
        <v>Low (&lt;3K)</v>
      </c>
      <c r="AN1331" t="str">
        <f t="shared" si="104"/>
        <v>Normal</v>
      </c>
    </row>
    <row r="1332" spans="1:40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 t="shared" si="100"/>
        <v>0</v>
      </c>
      <c r="AK1332" t="str">
        <f t="shared" si="101"/>
        <v>35-44</v>
      </c>
      <c r="AL1332" t="str">
        <f t="shared" si="102"/>
        <v>10+ yrs (Veteran)</v>
      </c>
      <c r="AM1332" t="str">
        <f t="shared" si="103"/>
        <v>Very High (12K+)</v>
      </c>
      <c r="AN1332" t="str">
        <f t="shared" si="104"/>
        <v>Normal</v>
      </c>
    </row>
    <row r="1333" spans="1:40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 t="shared" si="100"/>
        <v>0</v>
      </c>
      <c r="AK1333" t="str">
        <f t="shared" si="101"/>
        <v>45-54</v>
      </c>
      <c r="AL1333" t="str">
        <f t="shared" si="102"/>
        <v>10+ yrs (Veteran)</v>
      </c>
      <c r="AM1333" t="str">
        <f t="shared" si="103"/>
        <v>Very High (12K+)</v>
      </c>
      <c r="AN1333" t="str">
        <f t="shared" si="104"/>
        <v>Normal</v>
      </c>
    </row>
    <row r="1334" spans="1:40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 t="shared" si="100"/>
        <v>1</v>
      </c>
      <c r="AK1334" t="str">
        <f t="shared" si="101"/>
        <v>25-34</v>
      </c>
      <c r="AL1334" t="str">
        <f t="shared" si="102"/>
        <v>0-1 yrs (New)</v>
      </c>
      <c r="AM1334" t="str">
        <f t="shared" si="103"/>
        <v>Low (&lt;3K)</v>
      </c>
      <c r="AN1334" t="str">
        <f t="shared" si="104"/>
        <v>Normal</v>
      </c>
    </row>
    <row r="1335" spans="1:40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 t="shared" si="100"/>
        <v>1</v>
      </c>
      <c r="AK1335" t="str">
        <f t="shared" si="101"/>
        <v>45-54</v>
      </c>
      <c r="AL1335" t="str">
        <f t="shared" si="102"/>
        <v>5-9 yrs (Senior)</v>
      </c>
      <c r="AM1335" t="str">
        <f t="shared" si="103"/>
        <v>High (7K-12K)</v>
      </c>
      <c r="AN1335" t="str">
        <f t="shared" si="104"/>
        <v>Normal</v>
      </c>
    </row>
    <row r="1336" spans="1:40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 t="shared" si="100"/>
        <v>0</v>
      </c>
      <c r="AK1336" t="str">
        <f t="shared" si="101"/>
        <v>25-34</v>
      </c>
      <c r="AL1336" t="str">
        <f t="shared" si="102"/>
        <v>5-9 yrs (Senior)</v>
      </c>
      <c r="AM1336" t="str">
        <f t="shared" si="103"/>
        <v>Mid (3K-7K)</v>
      </c>
      <c r="AN1336" t="str">
        <f t="shared" si="104"/>
        <v>Normal</v>
      </c>
    </row>
    <row r="1337" spans="1:40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 t="shared" si="100"/>
        <v>0</v>
      </c>
      <c r="AK1337" t="str">
        <f t="shared" si="101"/>
        <v>35-44</v>
      </c>
      <c r="AL1337" t="str">
        <f t="shared" si="102"/>
        <v>2-4 yrs (Mid)</v>
      </c>
      <c r="AM1337" t="str">
        <f t="shared" si="103"/>
        <v>Mid (3K-7K)</v>
      </c>
      <c r="AN1337" t="str">
        <f t="shared" si="104"/>
        <v>Normal</v>
      </c>
    </row>
    <row r="1338" spans="1:40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 t="shared" si="100"/>
        <v>0</v>
      </c>
      <c r="AK1338" t="str">
        <f t="shared" si="101"/>
        <v>55+</v>
      </c>
      <c r="AL1338" t="str">
        <f t="shared" si="102"/>
        <v>5-9 yrs (Senior)</v>
      </c>
      <c r="AM1338" t="str">
        <f t="shared" si="103"/>
        <v>Low (&lt;3K)</v>
      </c>
      <c r="AN1338" t="str">
        <f t="shared" si="104"/>
        <v>Normal</v>
      </c>
    </row>
    <row r="1339" spans="1:40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 t="shared" si="100"/>
        <v>0</v>
      </c>
      <c r="AK1339" t="str">
        <f t="shared" si="101"/>
        <v>25-34</v>
      </c>
      <c r="AL1339" t="str">
        <f t="shared" si="102"/>
        <v>0-1 yrs (New)</v>
      </c>
      <c r="AM1339" t="str">
        <f t="shared" si="103"/>
        <v>Low (&lt;3K)</v>
      </c>
      <c r="AN1339" t="str">
        <f t="shared" si="104"/>
        <v>Normal</v>
      </c>
    </row>
    <row r="1340" spans="1:40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 t="shared" si="100"/>
        <v>1</v>
      </c>
      <c r="AK1340" t="str">
        <f t="shared" si="101"/>
        <v>25-34</v>
      </c>
      <c r="AL1340" t="str">
        <f t="shared" si="102"/>
        <v>0-1 yrs (New)</v>
      </c>
      <c r="AM1340" t="str">
        <f t="shared" si="103"/>
        <v>Low (&lt;3K)</v>
      </c>
      <c r="AN1340" t="str">
        <f t="shared" si="104"/>
        <v>Normal</v>
      </c>
    </row>
    <row r="1341" spans="1:40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 t="shared" si="100"/>
        <v>1</v>
      </c>
      <c r="AK1341" t="str">
        <f t="shared" si="101"/>
        <v>Under 25</v>
      </c>
      <c r="AL1341" t="str">
        <f t="shared" si="102"/>
        <v>0-1 yrs (New)</v>
      </c>
      <c r="AM1341" t="str">
        <f t="shared" si="103"/>
        <v>Low (&lt;3K)</v>
      </c>
      <c r="AN1341" t="str">
        <f t="shared" si="104"/>
        <v>High Risk</v>
      </c>
    </row>
    <row r="1342" spans="1:40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 t="shared" si="100"/>
        <v>0</v>
      </c>
      <c r="AK1342" t="str">
        <f t="shared" si="101"/>
        <v>35-44</v>
      </c>
      <c r="AL1342" t="str">
        <f t="shared" si="102"/>
        <v>10+ yrs (Veteran)</v>
      </c>
      <c r="AM1342" t="str">
        <f t="shared" si="103"/>
        <v>Mid (3K-7K)</v>
      </c>
      <c r="AN1342" t="str">
        <f t="shared" si="104"/>
        <v>Normal</v>
      </c>
    </row>
    <row r="1343" spans="1:40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 t="shared" si="100"/>
        <v>0</v>
      </c>
      <c r="AK1343" t="str">
        <f t="shared" si="101"/>
        <v>25-34</v>
      </c>
      <c r="AL1343" t="str">
        <f t="shared" si="102"/>
        <v>10+ yrs (Veteran)</v>
      </c>
      <c r="AM1343" t="str">
        <f t="shared" si="103"/>
        <v>Mid (3K-7K)</v>
      </c>
      <c r="AN1343" t="str">
        <f t="shared" si="104"/>
        <v>Normal</v>
      </c>
    </row>
    <row r="1344" spans="1:40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 t="shared" si="100"/>
        <v>0</v>
      </c>
      <c r="AK1344" t="str">
        <f t="shared" si="101"/>
        <v>25-34</v>
      </c>
      <c r="AL1344" t="str">
        <f t="shared" si="102"/>
        <v>5-9 yrs (Senior)</v>
      </c>
      <c r="AM1344" t="str">
        <f t="shared" si="103"/>
        <v>High (7K-12K)</v>
      </c>
      <c r="AN1344" t="str">
        <f t="shared" si="104"/>
        <v>Normal</v>
      </c>
    </row>
    <row r="1345" spans="1:40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 t="shared" si="100"/>
        <v>0</v>
      </c>
      <c r="AK1345" t="str">
        <f t="shared" si="101"/>
        <v>25-34</v>
      </c>
      <c r="AL1345" t="str">
        <f t="shared" si="102"/>
        <v>2-4 yrs (Mid)</v>
      </c>
      <c r="AM1345" t="str">
        <f t="shared" si="103"/>
        <v>Low (&lt;3K)</v>
      </c>
      <c r="AN1345" t="str">
        <f t="shared" si="104"/>
        <v>Normal</v>
      </c>
    </row>
    <row r="1346" spans="1:40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 t="shared" si="100"/>
        <v>0</v>
      </c>
      <c r="AK1346" t="str">
        <f t="shared" si="101"/>
        <v>35-44</v>
      </c>
      <c r="AL1346" t="str">
        <f t="shared" si="102"/>
        <v>5-9 yrs (Senior)</v>
      </c>
      <c r="AM1346" t="str">
        <f t="shared" si="103"/>
        <v>Mid (3K-7K)</v>
      </c>
      <c r="AN1346" t="str">
        <f t="shared" si="104"/>
        <v>High Risk</v>
      </c>
    </row>
    <row r="1347" spans="1:40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 t="shared" ref="AJ1347:AJ1410" si="105">IF(B1347="Yes", 1, 0)</f>
        <v>0</v>
      </c>
      <c r="AK1347" t="str">
        <f t="shared" ref="AK1347:AK1410" si="106">IF(A1347&lt;25, "Under 25", IF(A1347&lt;35, "25-34", IF(A1347&lt;45, "35-44", IF(A1347&lt;55, "45-54", "55+"))))</f>
        <v>35-44</v>
      </c>
      <c r="AL1347" t="str">
        <f t="shared" ref="AL1347:AL1410" si="107">IF(AF1347&lt;2, "0-1 yrs (New)", IF(AF1347&lt;5, "2-4 yrs (Mid)", IF(AF1347&lt;10, "5-9 yrs (Senior)", "10+ yrs (Veteran)")))</f>
        <v>2-4 yrs (Mid)</v>
      </c>
      <c r="AM1347" t="str">
        <f t="shared" ref="AM1347:AM1410" si="108">IF(S1347&lt;3000, "Low (&lt;3K)", IF(S1347&lt;7000, "Mid (3K-7K)", IF(S1347&lt;12000, "High (7K-12K)", "Very High (12K+)")))</f>
        <v>Mid (3K-7K)</v>
      </c>
      <c r="AN1347" t="str">
        <f t="shared" ref="AN1347:AN1410" si="109">IF(AND(W1347="Yes", Q1347&lt;=2), "High Risk", "Normal")</f>
        <v>High Risk</v>
      </c>
    </row>
    <row r="1348" spans="1:40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 t="shared" si="105"/>
        <v>0</v>
      </c>
      <c r="AK1348" t="str">
        <f t="shared" si="106"/>
        <v>45-54</v>
      </c>
      <c r="AL1348" t="str">
        <f t="shared" si="107"/>
        <v>5-9 yrs (Senior)</v>
      </c>
      <c r="AM1348" t="str">
        <f t="shared" si="108"/>
        <v>Mid (3K-7K)</v>
      </c>
      <c r="AN1348" t="str">
        <f t="shared" si="109"/>
        <v>Normal</v>
      </c>
    </row>
    <row r="1349" spans="1:40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 t="shared" si="105"/>
        <v>0</v>
      </c>
      <c r="AK1349" t="str">
        <f t="shared" si="106"/>
        <v>35-44</v>
      </c>
      <c r="AL1349" t="str">
        <f t="shared" si="107"/>
        <v>10+ yrs (Veteran)</v>
      </c>
      <c r="AM1349" t="str">
        <f t="shared" si="108"/>
        <v>Mid (3K-7K)</v>
      </c>
      <c r="AN1349" t="str">
        <f t="shared" si="109"/>
        <v>Normal</v>
      </c>
    </row>
    <row r="1350" spans="1:40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 t="shared" si="105"/>
        <v>0</v>
      </c>
      <c r="AK1350" t="str">
        <f t="shared" si="106"/>
        <v>35-44</v>
      </c>
      <c r="AL1350" t="str">
        <f t="shared" si="107"/>
        <v>10+ yrs (Veteran)</v>
      </c>
      <c r="AM1350" t="str">
        <f t="shared" si="108"/>
        <v>Very High (12K+)</v>
      </c>
      <c r="AN1350" t="str">
        <f t="shared" si="109"/>
        <v>Normal</v>
      </c>
    </row>
    <row r="1351" spans="1:40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 t="shared" si="105"/>
        <v>0</v>
      </c>
      <c r="AK1351" t="str">
        <f t="shared" si="106"/>
        <v>25-34</v>
      </c>
      <c r="AL1351" t="str">
        <f t="shared" si="107"/>
        <v>0-1 yrs (New)</v>
      </c>
      <c r="AM1351" t="str">
        <f t="shared" si="108"/>
        <v>Low (&lt;3K)</v>
      </c>
      <c r="AN1351" t="str">
        <f t="shared" si="109"/>
        <v>Normal</v>
      </c>
    </row>
    <row r="1352" spans="1:40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 t="shared" si="105"/>
        <v>0</v>
      </c>
      <c r="AK1352" t="str">
        <f t="shared" si="106"/>
        <v>25-34</v>
      </c>
      <c r="AL1352" t="str">
        <f t="shared" si="107"/>
        <v>5-9 yrs (Senior)</v>
      </c>
      <c r="AM1352" t="str">
        <f t="shared" si="108"/>
        <v>Mid (3K-7K)</v>
      </c>
      <c r="AN1352" t="str">
        <f t="shared" si="109"/>
        <v>Normal</v>
      </c>
    </row>
    <row r="1353" spans="1:40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 t="shared" si="105"/>
        <v>0</v>
      </c>
      <c r="AK1353" t="str">
        <f t="shared" si="106"/>
        <v>45-54</v>
      </c>
      <c r="AL1353" t="str">
        <f t="shared" si="107"/>
        <v>10+ yrs (Veteran)</v>
      </c>
      <c r="AM1353" t="str">
        <f t="shared" si="108"/>
        <v>Very High (12K+)</v>
      </c>
      <c r="AN1353" t="str">
        <f t="shared" si="109"/>
        <v>Normal</v>
      </c>
    </row>
    <row r="1354" spans="1:40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 t="shared" si="105"/>
        <v>0</v>
      </c>
      <c r="AK1354" t="str">
        <f t="shared" si="106"/>
        <v>35-44</v>
      </c>
      <c r="AL1354" t="str">
        <f t="shared" si="107"/>
        <v>2-4 yrs (Mid)</v>
      </c>
      <c r="AM1354" t="str">
        <f t="shared" si="108"/>
        <v>Mid (3K-7K)</v>
      </c>
      <c r="AN1354" t="str">
        <f t="shared" si="109"/>
        <v>Normal</v>
      </c>
    </row>
    <row r="1355" spans="1:40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 t="shared" si="105"/>
        <v>1</v>
      </c>
      <c r="AK1355" t="str">
        <f t="shared" si="106"/>
        <v>25-34</v>
      </c>
      <c r="AL1355" t="str">
        <f t="shared" si="107"/>
        <v>5-9 yrs (Senior)</v>
      </c>
      <c r="AM1355" t="str">
        <f t="shared" si="108"/>
        <v>Low (&lt;3K)</v>
      </c>
      <c r="AN1355" t="str">
        <f t="shared" si="109"/>
        <v>High Risk</v>
      </c>
    </row>
    <row r="1356" spans="1:40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 t="shared" si="105"/>
        <v>1</v>
      </c>
      <c r="AK1356" t="str">
        <f t="shared" si="106"/>
        <v>55+</v>
      </c>
      <c r="AL1356" t="str">
        <f t="shared" si="107"/>
        <v>2-4 yrs (Mid)</v>
      </c>
      <c r="AM1356" t="str">
        <f t="shared" si="108"/>
        <v>Low (&lt;3K)</v>
      </c>
      <c r="AN1356" t="str">
        <f t="shared" si="109"/>
        <v>Normal</v>
      </c>
    </row>
    <row r="1357" spans="1:40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 t="shared" si="105"/>
        <v>0</v>
      </c>
      <c r="AK1357" t="str">
        <f t="shared" si="106"/>
        <v>35-44</v>
      </c>
      <c r="AL1357" t="str">
        <f t="shared" si="107"/>
        <v>2-4 yrs (Mid)</v>
      </c>
      <c r="AM1357" t="str">
        <f t="shared" si="108"/>
        <v>Mid (3K-7K)</v>
      </c>
      <c r="AN1357" t="str">
        <f t="shared" si="109"/>
        <v>Normal</v>
      </c>
    </row>
    <row r="1358" spans="1:40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 t="shared" si="105"/>
        <v>0</v>
      </c>
      <c r="AK1358" t="str">
        <f t="shared" si="106"/>
        <v>35-44</v>
      </c>
      <c r="AL1358" t="str">
        <f t="shared" si="107"/>
        <v>5-9 yrs (Senior)</v>
      </c>
      <c r="AM1358" t="str">
        <f t="shared" si="108"/>
        <v>Mid (3K-7K)</v>
      </c>
      <c r="AN1358" t="str">
        <f t="shared" si="109"/>
        <v>Normal</v>
      </c>
    </row>
    <row r="1359" spans="1:40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 t="shared" si="105"/>
        <v>0</v>
      </c>
      <c r="AK1359" t="str">
        <f t="shared" si="106"/>
        <v>35-44</v>
      </c>
      <c r="AL1359" t="str">
        <f t="shared" si="107"/>
        <v>10+ yrs (Veteran)</v>
      </c>
      <c r="AM1359" t="str">
        <f t="shared" si="108"/>
        <v>Very High (12K+)</v>
      </c>
      <c r="AN1359" t="str">
        <f t="shared" si="109"/>
        <v>Normal</v>
      </c>
    </row>
    <row r="1360" spans="1:40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 t="shared" si="105"/>
        <v>0</v>
      </c>
      <c r="AK1360" t="str">
        <f t="shared" si="106"/>
        <v>25-34</v>
      </c>
      <c r="AL1360" t="str">
        <f t="shared" si="107"/>
        <v>5-9 yrs (Senior)</v>
      </c>
      <c r="AM1360" t="str">
        <f t="shared" si="108"/>
        <v>Mid (3K-7K)</v>
      </c>
      <c r="AN1360" t="str">
        <f t="shared" si="109"/>
        <v>Normal</v>
      </c>
    </row>
    <row r="1361" spans="1:40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 t="shared" si="105"/>
        <v>0</v>
      </c>
      <c r="AK1361" t="str">
        <f t="shared" si="106"/>
        <v>25-34</v>
      </c>
      <c r="AL1361" t="str">
        <f t="shared" si="107"/>
        <v>2-4 yrs (Mid)</v>
      </c>
      <c r="AM1361" t="str">
        <f t="shared" si="108"/>
        <v>High (7K-12K)</v>
      </c>
      <c r="AN1361" t="str">
        <f t="shared" si="109"/>
        <v>Normal</v>
      </c>
    </row>
    <row r="1362" spans="1:40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 t="shared" si="105"/>
        <v>0</v>
      </c>
      <c r="AK1362" t="str">
        <f t="shared" si="106"/>
        <v>25-34</v>
      </c>
      <c r="AL1362" t="str">
        <f t="shared" si="107"/>
        <v>2-4 yrs (Mid)</v>
      </c>
      <c r="AM1362" t="str">
        <f t="shared" si="108"/>
        <v>Mid (3K-7K)</v>
      </c>
      <c r="AN1362" t="str">
        <f t="shared" si="109"/>
        <v>Normal</v>
      </c>
    </row>
    <row r="1363" spans="1:40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 t="shared" si="105"/>
        <v>0</v>
      </c>
      <c r="AK1363" t="str">
        <f t="shared" si="106"/>
        <v>25-34</v>
      </c>
      <c r="AL1363" t="str">
        <f t="shared" si="107"/>
        <v>5-9 yrs (Senior)</v>
      </c>
      <c r="AM1363" t="str">
        <f t="shared" si="108"/>
        <v>Low (&lt;3K)</v>
      </c>
      <c r="AN1363" t="str">
        <f t="shared" si="109"/>
        <v>Normal</v>
      </c>
    </row>
    <row r="1364" spans="1:40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 t="shared" si="105"/>
        <v>0</v>
      </c>
      <c r="AK1364" t="str">
        <f t="shared" si="106"/>
        <v>45-54</v>
      </c>
      <c r="AL1364" t="str">
        <f t="shared" si="107"/>
        <v>2-4 yrs (Mid)</v>
      </c>
      <c r="AM1364" t="str">
        <f t="shared" si="108"/>
        <v>Mid (3K-7K)</v>
      </c>
      <c r="AN1364" t="str">
        <f t="shared" si="109"/>
        <v>Normal</v>
      </c>
    </row>
    <row r="1365" spans="1:40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 t="shared" si="105"/>
        <v>0</v>
      </c>
      <c r="AK1365" t="str">
        <f t="shared" si="106"/>
        <v>25-34</v>
      </c>
      <c r="AL1365" t="str">
        <f t="shared" si="107"/>
        <v>10+ yrs (Veteran)</v>
      </c>
      <c r="AM1365" t="str">
        <f t="shared" si="108"/>
        <v>Mid (3K-7K)</v>
      </c>
      <c r="AN1365" t="str">
        <f t="shared" si="109"/>
        <v>Normal</v>
      </c>
    </row>
    <row r="1366" spans="1:40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 t="shared" si="105"/>
        <v>0</v>
      </c>
      <c r="AK1366" t="str">
        <f t="shared" si="106"/>
        <v>25-34</v>
      </c>
      <c r="AL1366" t="str">
        <f t="shared" si="107"/>
        <v>5-9 yrs (Senior)</v>
      </c>
      <c r="AM1366" t="str">
        <f t="shared" si="108"/>
        <v>Mid (3K-7K)</v>
      </c>
      <c r="AN1366" t="str">
        <f t="shared" si="109"/>
        <v>Normal</v>
      </c>
    </row>
    <row r="1367" spans="1:40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 t="shared" si="105"/>
        <v>1</v>
      </c>
      <c r="AK1367" t="str">
        <f t="shared" si="106"/>
        <v>25-34</v>
      </c>
      <c r="AL1367" t="str">
        <f t="shared" si="107"/>
        <v>0-1 yrs (New)</v>
      </c>
      <c r="AM1367" t="str">
        <f t="shared" si="108"/>
        <v>Low (&lt;3K)</v>
      </c>
      <c r="AN1367" t="str">
        <f t="shared" si="109"/>
        <v>Normal</v>
      </c>
    </row>
    <row r="1368" spans="1:40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 t="shared" si="105"/>
        <v>0</v>
      </c>
      <c r="AK1368" t="str">
        <f t="shared" si="106"/>
        <v>35-44</v>
      </c>
      <c r="AL1368" t="str">
        <f t="shared" si="107"/>
        <v>2-4 yrs (Mid)</v>
      </c>
      <c r="AM1368" t="str">
        <f t="shared" si="108"/>
        <v>Mid (3K-7K)</v>
      </c>
      <c r="AN1368" t="str">
        <f t="shared" si="109"/>
        <v>Normal</v>
      </c>
    </row>
    <row r="1369" spans="1:40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 t="shared" si="105"/>
        <v>0</v>
      </c>
      <c r="AK1369" t="str">
        <f t="shared" si="106"/>
        <v>25-34</v>
      </c>
      <c r="AL1369" t="str">
        <f t="shared" si="107"/>
        <v>5-9 yrs (Senior)</v>
      </c>
      <c r="AM1369" t="str">
        <f t="shared" si="108"/>
        <v>Low (&lt;3K)</v>
      </c>
      <c r="AN1369" t="str">
        <f t="shared" si="109"/>
        <v>Normal</v>
      </c>
    </row>
    <row r="1370" spans="1:40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 t="shared" si="105"/>
        <v>0</v>
      </c>
      <c r="AK1370" t="str">
        <f t="shared" si="106"/>
        <v>25-34</v>
      </c>
      <c r="AL1370" t="str">
        <f t="shared" si="107"/>
        <v>10+ yrs (Veteran)</v>
      </c>
      <c r="AM1370" t="str">
        <f t="shared" si="108"/>
        <v>Mid (3K-7K)</v>
      </c>
      <c r="AN1370" t="str">
        <f t="shared" si="109"/>
        <v>Normal</v>
      </c>
    </row>
    <row r="1371" spans="1:40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 t="shared" si="105"/>
        <v>1</v>
      </c>
      <c r="AK1371" t="str">
        <f t="shared" si="106"/>
        <v>25-34</v>
      </c>
      <c r="AL1371" t="str">
        <f t="shared" si="107"/>
        <v>2-4 yrs (Mid)</v>
      </c>
      <c r="AM1371" t="str">
        <f t="shared" si="108"/>
        <v>High (7K-12K)</v>
      </c>
      <c r="AN1371" t="str">
        <f t="shared" si="109"/>
        <v>Normal</v>
      </c>
    </row>
    <row r="1372" spans="1:40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 t="shared" si="105"/>
        <v>0</v>
      </c>
      <c r="AK1372" t="str">
        <f t="shared" si="106"/>
        <v>45-54</v>
      </c>
      <c r="AL1372" t="str">
        <f t="shared" si="107"/>
        <v>5-9 yrs (Senior)</v>
      </c>
      <c r="AM1372" t="str">
        <f t="shared" si="108"/>
        <v>Mid (3K-7K)</v>
      </c>
      <c r="AN1372" t="str">
        <f t="shared" si="109"/>
        <v>Normal</v>
      </c>
    </row>
    <row r="1373" spans="1:40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 t="shared" si="105"/>
        <v>0</v>
      </c>
      <c r="AK1373" t="str">
        <f t="shared" si="106"/>
        <v>55+</v>
      </c>
      <c r="AL1373" t="str">
        <f t="shared" si="107"/>
        <v>0-1 yrs (New)</v>
      </c>
      <c r="AM1373" t="str">
        <f t="shared" si="108"/>
        <v>Mid (3K-7K)</v>
      </c>
      <c r="AN1373" t="str">
        <f t="shared" si="109"/>
        <v>Normal</v>
      </c>
    </row>
    <row r="1374" spans="1:40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 t="shared" si="105"/>
        <v>0</v>
      </c>
      <c r="AK1374" t="str">
        <f t="shared" si="106"/>
        <v>35-44</v>
      </c>
      <c r="AL1374" t="str">
        <f t="shared" si="107"/>
        <v>10+ yrs (Veteran)</v>
      </c>
      <c r="AM1374" t="str">
        <f t="shared" si="108"/>
        <v>Mid (3K-7K)</v>
      </c>
      <c r="AN1374" t="str">
        <f t="shared" si="109"/>
        <v>Normal</v>
      </c>
    </row>
    <row r="1375" spans="1:40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 t="shared" si="105"/>
        <v>0</v>
      </c>
      <c r="AK1375" t="str">
        <f t="shared" si="106"/>
        <v>35-44</v>
      </c>
      <c r="AL1375" t="str">
        <f t="shared" si="107"/>
        <v>10+ yrs (Veteran)</v>
      </c>
      <c r="AM1375" t="str">
        <f t="shared" si="108"/>
        <v>Low (&lt;3K)</v>
      </c>
      <c r="AN1375" t="str">
        <f t="shared" si="109"/>
        <v>High Risk</v>
      </c>
    </row>
    <row r="1376" spans="1:40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 t="shared" si="105"/>
        <v>0</v>
      </c>
      <c r="AK1376" t="str">
        <f t="shared" si="106"/>
        <v>55+</v>
      </c>
      <c r="AL1376" t="str">
        <f t="shared" si="107"/>
        <v>0-1 yrs (New)</v>
      </c>
      <c r="AM1376" t="str">
        <f t="shared" si="108"/>
        <v>Very High (12K+)</v>
      </c>
      <c r="AN1376" t="str">
        <f t="shared" si="109"/>
        <v>Normal</v>
      </c>
    </row>
    <row r="1377" spans="1:40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 t="shared" si="105"/>
        <v>1</v>
      </c>
      <c r="AK1377" t="str">
        <f t="shared" si="106"/>
        <v>25-34</v>
      </c>
      <c r="AL1377" t="str">
        <f t="shared" si="107"/>
        <v>2-4 yrs (Mid)</v>
      </c>
      <c r="AM1377" t="str">
        <f t="shared" si="108"/>
        <v>Low (&lt;3K)</v>
      </c>
      <c r="AN1377" t="str">
        <f t="shared" si="109"/>
        <v>Normal</v>
      </c>
    </row>
    <row r="1378" spans="1:40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 t="shared" si="105"/>
        <v>0</v>
      </c>
      <c r="AK1378" t="str">
        <f t="shared" si="106"/>
        <v>35-44</v>
      </c>
      <c r="AL1378" t="str">
        <f t="shared" si="107"/>
        <v>5-9 yrs (Senior)</v>
      </c>
      <c r="AM1378" t="str">
        <f t="shared" si="108"/>
        <v>Mid (3K-7K)</v>
      </c>
      <c r="AN1378" t="str">
        <f t="shared" si="109"/>
        <v>Normal</v>
      </c>
    </row>
    <row r="1379" spans="1:40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 t="shared" si="105"/>
        <v>0</v>
      </c>
      <c r="AK1379" t="str">
        <f t="shared" si="106"/>
        <v>45-54</v>
      </c>
      <c r="AL1379" t="str">
        <f t="shared" si="107"/>
        <v>5-9 yrs (Senior)</v>
      </c>
      <c r="AM1379" t="str">
        <f t="shared" si="108"/>
        <v>Very High (12K+)</v>
      </c>
      <c r="AN1379" t="str">
        <f t="shared" si="109"/>
        <v>Normal</v>
      </c>
    </row>
    <row r="1380" spans="1:40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 t="shared" si="105"/>
        <v>0</v>
      </c>
      <c r="AK1380" t="str">
        <f t="shared" si="106"/>
        <v>35-44</v>
      </c>
      <c r="AL1380" t="str">
        <f t="shared" si="107"/>
        <v>0-1 yrs (New)</v>
      </c>
      <c r="AM1380" t="str">
        <f t="shared" si="108"/>
        <v>Mid (3K-7K)</v>
      </c>
      <c r="AN1380" t="str">
        <f t="shared" si="109"/>
        <v>Normal</v>
      </c>
    </row>
    <row r="1381" spans="1:40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 t="shared" si="105"/>
        <v>1</v>
      </c>
      <c r="AK1381" t="str">
        <f t="shared" si="106"/>
        <v>25-34</v>
      </c>
      <c r="AL1381" t="str">
        <f t="shared" si="107"/>
        <v>0-1 yrs (New)</v>
      </c>
      <c r="AM1381" t="str">
        <f t="shared" si="108"/>
        <v>Low (&lt;3K)</v>
      </c>
      <c r="AN1381" t="str">
        <f t="shared" si="109"/>
        <v>Normal</v>
      </c>
    </row>
    <row r="1382" spans="1:40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 t="shared" si="105"/>
        <v>0</v>
      </c>
      <c r="AK1382" t="str">
        <f t="shared" si="106"/>
        <v>35-44</v>
      </c>
      <c r="AL1382" t="str">
        <f t="shared" si="107"/>
        <v>5-9 yrs (Senior)</v>
      </c>
      <c r="AM1382" t="str">
        <f t="shared" si="108"/>
        <v>Mid (3K-7K)</v>
      </c>
      <c r="AN1382" t="str">
        <f t="shared" si="109"/>
        <v>Normal</v>
      </c>
    </row>
    <row r="1383" spans="1:40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 t="shared" si="105"/>
        <v>0</v>
      </c>
      <c r="AK1383" t="str">
        <f t="shared" si="106"/>
        <v>25-34</v>
      </c>
      <c r="AL1383" t="str">
        <f t="shared" si="107"/>
        <v>5-9 yrs (Senior)</v>
      </c>
      <c r="AM1383" t="str">
        <f t="shared" si="108"/>
        <v>Low (&lt;3K)</v>
      </c>
      <c r="AN1383" t="str">
        <f t="shared" si="109"/>
        <v>Normal</v>
      </c>
    </row>
    <row r="1384" spans="1:40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 t="shared" si="105"/>
        <v>0</v>
      </c>
      <c r="AK1384" t="str">
        <f t="shared" si="106"/>
        <v>25-34</v>
      </c>
      <c r="AL1384" t="str">
        <f t="shared" si="107"/>
        <v>2-4 yrs (Mid)</v>
      </c>
      <c r="AM1384" t="str">
        <f t="shared" si="108"/>
        <v>Mid (3K-7K)</v>
      </c>
      <c r="AN1384" t="str">
        <f t="shared" si="109"/>
        <v>High Risk</v>
      </c>
    </row>
    <row r="1385" spans="1:40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 t="shared" si="105"/>
        <v>0</v>
      </c>
      <c r="AK1385" t="str">
        <f t="shared" si="106"/>
        <v>35-44</v>
      </c>
      <c r="AL1385" t="str">
        <f t="shared" si="107"/>
        <v>5-9 yrs (Senior)</v>
      </c>
      <c r="AM1385" t="str">
        <f t="shared" si="108"/>
        <v>Low (&lt;3K)</v>
      </c>
      <c r="AN1385" t="str">
        <f t="shared" si="109"/>
        <v>Normal</v>
      </c>
    </row>
    <row r="1386" spans="1:40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 t="shared" si="105"/>
        <v>0</v>
      </c>
      <c r="AK1386" t="str">
        <f t="shared" si="106"/>
        <v>25-34</v>
      </c>
      <c r="AL1386" t="str">
        <f t="shared" si="107"/>
        <v>10+ yrs (Veteran)</v>
      </c>
      <c r="AM1386" t="str">
        <f t="shared" si="108"/>
        <v>High (7K-12K)</v>
      </c>
      <c r="AN1386" t="str">
        <f t="shared" si="109"/>
        <v>Normal</v>
      </c>
    </row>
    <row r="1387" spans="1:40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 t="shared" si="105"/>
        <v>0</v>
      </c>
      <c r="AK1387" t="str">
        <f t="shared" si="106"/>
        <v>25-34</v>
      </c>
      <c r="AL1387" t="str">
        <f t="shared" si="107"/>
        <v>5-9 yrs (Senior)</v>
      </c>
      <c r="AM1387" t="str">
        <f t="shared" si="108"/>
        <v>High (7K-12K)</v>
      </c>
      <c r="AN1387" t="str">
        <f t="shared" si="109"/>
        <v>Normal</v>
      </c>
    </row>
    <row r="1388" spans="1:40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 t="shared" si="105"/>
        <v>0</v>
      </c>
      <c r="AK1388" t="str">
        <f t="shared" si="106"/>
        <v>25-34</v>
      </c>
      <c r="AL1388" t="str">
        <f t="shared" si="107"/>
        <v>5-9 yrs (Senior)</v>
      </c>
      <c r="AM1388" t="str">
        <f t="shared" si="108"/>
        <v>Low (&lt;3K)</v>
      </c>
      <c r="AN1388" t="str">
        <f t="shared" si="109"/>
        <v>Normal</v>
      </c>
    </row>
    <row r="1389" spans="1:40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 t="shared" si="105"/>
        <v>0</v>
      </c>
      <c r="AK1389" t="str">
        <f t="shared" si="106"/>
        <v>25-34</v>
      </c>
      <c r="AL1389" t="str">
        <f t="shared" si="107"/>
        <v>5-9 yrs (Senior)</v>
      </c>
      <c r="AM1389" t="str">
        <f t="shared" si="108"/>
        <v>Mid (3K-7K)</v>
      </c>
      <c r="AN1389" t="str">
        <f t="shared" si="109"/>
        <v>Normal</v>
      </c>
    </row>
    <row r="1390" spans="1:40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 t="shared" si="105"/>
        <v>0</v>
      </c>
      <c r="AK1390" t="str">
        <f t="shared" si="106"/>
        <v>25-34</v>
      </c>
      <c r="AL1390" t="str">
        <f t="shared" si="107"/>
        <v>5-9 yrs (Senior)</v>
      </c>
      <c r="AM1390" t="str">
        <f t="shared" si="108"/>
        <v>Mid (3K-7K)</v>
      </c>
      <c r="AN1390" t="str">
        <f t="shared" si="109"/>
        <v>Normal</v>
      </c>
    </row>
    <row r="1391" spans="1:40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 t="shared" si="105"/>
        <v>0</v>
      </c>
      <c r="AK1391" t="str">
        <f t="shared" si="106"/>
        <v>25-34</v>
      </c>
      <c r="AL1391" t="str">
        <f t="shared" si="107"/>
        <v>10+ yrs (Veteran)</v>
      </c>
      <c r="AM1391" t="str">
        <f t="shared" si="108"/>
        <v>Mid (3K-7K)</v>
      </c>
      <c r="AN1391" t="str">
        <f t="shared" si="109"/>
        <v>Normal</v>
      </c>
    </row>
    <row r="1392" spans="1:40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 t="shared" si="105"/>
        <v>1</v>
      </c>
      <c r="AK1392" t="str">
        <f t="shared" si="106"/>
        <v>25-34</v>
      </c>
      <c r="AL1392" t="str">
        <f t="shared" si="107"/>
        <v>2-4 yrs (Mid)</v>
      </c>
      <c r="AM1392" t="str">
        <f t="shared" si="108"/>
        <v>Low (&lt;3K)</v>
      </c>
      <c r="AN1392" t="str">
        <f t="shared" si="109"/>
        <v>Normal</v>
      </c>
    </row>
    <row r="1393" spans="1:40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 t="shared" si="105"/>
        <v>0</v>
      </c>
      <c r="AK1393" t="str">
        <f t="shared" si="106"/>
        <v>35-44</v>
      </c>
      <c r="AL1393" t="str">
        <f t="shared" si="107"/>
        <v>0-1 yrs (New)</v>
      </c>
      <c r="AM1393" t="str">
        <f t="shared" si="108"/>
        <v>Low (&lt;3K)</v>
      </c>
      <c r="AN1393" t="str">
        <f t="shared" si="109"/>
        <v>Normal</v>
      </c>
    </row>
    <row r="1394" spans="1:40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 t="shared" si="105"/>
        <v>0</v>
      </c>
      <c r="AK1394" t="str">
        <f t="shared" si="106"/>
        <v>35-44</v>
      </c>
      <c r="AL1394" t="str">
        <f t="shared" si="107"/>
        <v>10+ yrs (Veteran)</v>
      </c>
      <c r="AM1394" t="str">
        <f t="shared" si="108"/>
        <v>Mid (3K-7K)</v>
      </c>
      <c r="AN1394" t="str">
        <f t="shared" si="109"/>
        <v>Normal</v>
      </c>
    </row>
    <row r="1395" spans="1:40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 t="shared" si="105"/>
        <v>0</v>
      </c>
      <c r="AK1395" t="str">
        <f t="shared" si="106"/>
        <v>25-34</v>
      </c>
      <c r="AL1395" t="str">
        <f t="shared" si="107"/>
        <v>5-9 yrs (Senior)</v>
      </c>
      <c r="AM1395" t="str">
        <f t="shared" si="108"/>
        <v>Mid (3K-7K)</v>
      </c>
      <c r="AN1395" t="str">
        <f t="shared" si="109"/>
        <v>Normal</v>
      </c>
    </row>
    <row r="1396" spans="1:40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 t="shared" si="105"/>
        <v>0</v>
      </c>
      <c r="AK1396" t="str">
        <f t="shared" si="106"/>
        <v>25-34</v>
      </c>
      <c r="AL1396" t="str">
        <f t="shared" si="107"/>
        <v>0-1 yrs (New)</v>
      </c>
      <c r="AM1396" t="str">
        <f t="shared" si="108"/>
        <v>High (7K-12K)</v>
      </c>
      <c r="AN1396" t="str">
        <f t="shared" si="109"/>
        <v>Normal</v>
      </c>
    </row>
    <row r="1397" spans="1:40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 t="shared" si="105"/>
        <v>1</v>
      </c>
      <c r="AK1397" t="str">
        <f t="shared" si="106"/>
        <v>25-34</v>
      </c>
      <c r="AL1397" t="str">
        <f t="shared" si="107"/>
        <v>10+ yrs (Veteran)</v>
      </c>
      <c r="AM1397" t="str">
        <f t="shared" si="108"/>
        <v>Mid (3K-7K)</v>
      </c>
      <c r="AN1397" t="str">
        <f t="shared" si="109"/>
        <v>Normal</v>
      </c>
    </row>
    <row r="1398" spans="1:40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 t="shared" si="105"/>
        <v>1</v>
      </c>
      <c r="AK1398" t="str">
        <f t="shared" si="106"/>
        <v>45-54</v>
      </c>
      <c r="AL1398" t="str">
        <f t="shared" si="107"/>
        <v>2-4 yrs (Mid)</v>
      </c>
      <c r="AM1398" t="str">
        <f t="shared" si="108"/>
        <v>High (7K-12K)</v>
      </c>
      <c r="AN1398" t="str">
        <f t="shared" si="109"/>
        <v>High Risk</v>
      </c>
    </row>
    <row r="1399" spans="1:40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 t="shared" si="105"/>
        <v>0</v>
      </c>
      <c r="AK1399" t="str">
        <f t="shared" si="106"/>
        <v>45-54</v>
      </c>
      <c r="AL1399" t="str">
        <f t="shared" si="107"/>
        <v>2-4 yrs (Mid)</v>
      </c>
      <c r="AM1399" t="str">
        <f t="shared" si="108"/>
        <v>Low (&lt;3K)</v>
      </c>
      <c r="AN1399" t="str">
        <f t="shared" si="109"/>
        <v>Normal</v>
      </c>
    </row>
    <row r="1400" spans="1:40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 t="shared" si="105"/>
        <v>0</v>
      </c>
      <c r="AK1400" t="str">
        <f t="shared" si="106"/>
        <v>25-34</v>
      </c>
      <c r="AL1400" t="str">
        <f t="shared" si="107"/>
        <v>5-9 yrs (Senior)</v>
      </c>
      <c r="AM1400" t="str">
        <f t="shared" si="108"/>
        <v>Mid (3K-7K)</v>
      </c>
      <c r="AN1400" t="str">
        <f t="shared" si="109"/>
        <v>Normal</v>
      </c>
    </row>
    <row r="1401" spans="1:40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 t="shared" si="105"/>
        <v>0</v>
      </c>
      <c r="AK1401" t="str">
        <f t="shared" si="106"/>
        <v>35-44</v>
      </c>
      <c r="AL1401" t="str">
        <f t="shared" si="107"/>
        <v>10+ yrs (Veteran)</v>
      </c>
      <c r="AM1401" t="str">
        <f t="shared" si="108"/>
        <v>High (7K-12K)</v>
      </c>
      <c r="AN1401" t="str">
        <f t="shared" si="109"/>
        <v>Normal</v>
      </c>
    </row>
    <row r="1402" spans="1:40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 t="shared" si="105"/>
        <v>0</v>
      </c>
      <c r="AK1402" t="str">
        <f t="shared" si="106"/>
        <v>35-44</v>
      </c>
      <c r="AL1402" t="str">
        <f t="shared" si="107"/>
        <v>5-9 yrs (Senior)</v>
      </c>
      <c r="AM1402" t="str">
        <f t="shared" si="108"/>
        <v>Low (&lt;3K)</v>
      </c>
      <c r="AN1402" t="str">
        <f t="shared" si="109"/>
        <v>High Risk</v>
      </c>
    </row>
    <row r="1403" spans="1:40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 t="shared" si="105"/>
        <v>0</v>
      </c>
      <c r="AK1403" t="str">
        <f t="shared" si="106"/>
        <v>55+</v>
      </c>
      <c r="AL1403" t="str">
        <f t="shared" si="107"/>
        <v>10+ yrs (Veteran)</v>
      </c>
      <c r="AM1403" t="str">
        <f t="shared" si="108"/>
        <v>Very High (12K+)</v>
      </c>
      <c r="AN1403" t="str">
        <f t="shared" si="109"/>
        <v>High Risk</v>
      </c>
    </row>
    <row r="1404" spans="1:40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 t="shared" si="105"/>
        <v>0</v>
      </c>
      <c r="AK1404" t="str">
        <f t="shared" si="106"/>
        <v>25-34</v>
      </c>
      <c r="AL1404" t="str">
        <f t="shared" si="107"/>
        <v>0-1 yrs (New)</v>
      </c>
      <c r="AM1404" t="str">
        <f t="shared" si="108"/>
        <v>Low (&lt;3K)</v>
      </c>
      <c r="AN1404" t="str">
        <f t="shared" si="109"/>
        <v>Normal</v>
      </c>
    </row>
    <row r="1405" spans="1:40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 t="shared" si="105"/>
        <v>0</v>
      </c>
      <c r="AK1405" t="str">
        <f t="shared" si="106"/>
        <v>35-44</v>
      </c>
      <c r="AL1405" t="str">
        <f t="shared" si="107"/>
        <v>10+ yrs (Veteran)</v>
      </c>
      <c r="AM1405" t="str">
        <f t="shared" si="108"/>
        <v>Very High (12K+)</v>
      </c>
      <c r="AN1405" t="str">
        <f t="shared" si="109"/>
        <v>Normal</v>
      </c>
    </row>
    <row r="1406" spans="1:40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 t="shared" si="105"/>
        <v>0</v>
      </c>
      <c r="AK1406" t="str">
        <f t="shared" si="106"/>
        <v>35-44</v>
      </c>
      <c r="AL1406" t="str">
        <f t="shared" si="107"/>
        <v>10+ yrs (Veteran)</v>
      </c>
      <c r="AM1406" t="str">
        <f t="shared" si="108"/>
        <v>Mid (3K-7K)</v>
      </c>
      <c r="AN1406" t="str">
        <f t="shared" si="109"/>
        <v>Normal</v>
      </c>
    </row>
    <row r="1407" spans="1:40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 t="shared" si="105"/>
        <v>0</v>
      </c>
      <c r="AK1407" t="str">
        <f t="shared" si="106"/>
        <v>25-34</v>
      </c>
      <c r="AL1407" t="str">
        <f t="shared" si="107"/>
        <v>10+ yrs (Veteran)</v>
      </c>
      <c r="AM1407" t="str">
        <f t="shared" si="108"/>
        <v>High (7K-12K)</v>
      </c>
      <c r="AN1407" t="str">
        <f t="shared" si="109"/>
        <v>Normal</v>
      </c>
    </row>
    <row r="1408" spans="1:40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 t="shared" si="105"/>
        <v>0</v>
      </c>
      <c r="AK1408" t="str">
        <f t="shared" si="106"/>
        <v>45-54</v>
      </c>
      <c r="AL1408" t="str">
        <f t="shared" si="107"/>
        <v>5-9 yrs (Senior)</v>
      </c>
      <c r="AM1408" t="str">
        <f t="shared" si="108"/>
        <v>Mid (3K-7K)</v>
      </c>
      <c r="AN1408" t="str">
        <f t="shared" si="109"/>
        <v>High Risk</v>
      </c>
    </row>
    <row r="1409" spans="1:40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 t="shared" si="105"/>
        <v>0</v>
      </c>
      <c r="AK1409" t="str">
        <f t="shared" si="106"/>
        <v>Under 25</v>
      </c>
      <c r="AL1409" t="str">
        <f t="shared" si="107"/>
        <v>2-4 yrs (Mid)</v>
      </c>
      <c r="AM1409" t="str">
        <f t="shared" si="108"/>
        <v>Mid (3K-7K)</v>
      </c>
      <c r="AN1409" t="str">
        <f t="shared" si="109"/>
        <v>Normal</v>
      </c>
    </row>
    <row r="1410" spans="1:40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 t="shared" si="105"/>
        <v>0</v>
      </c>
      <c r="AK1410" t="str">
        <f t="shared" si="106"/>
        <v>Under 25</v>
      </c>
      <c r="AL1410" t="str">
        <f t="shared" si="107"/>
        <v>5-9 yrs (Senior)</v>
      </c>
      <c r="AM1410" t="str">
        <f t="shared" si="108"/>
        <v>Low (&lt;3K)</v>
      </c>
      <c r="AN1410" t="str">
        <f t="shared" si="109"/>
        <v>Normal</v>
      </c>
    </row>
    <row r="1411" spans="1:40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 t="shared" ref="AJ1411:AJ1471" si="110">IF(B1411="Yes", 1, 0)</f>
        <v>0</v>
      </c>
      <c r="AK1411" t="str">
        <f t="shared" ref="AK1411:AK1471" si="111">IF(A1411&lt;25, "Under 25", IF(A1411&lt;35, "25-34", IF(A1411&lt;45, "35-44", IF(A1411&lt;55, "45-54", "55+"))))</f>
        <v>35-44</v>
      </c>
      <c r="AL1411" t="str">
        <f t="shared" ref="AL1411:AL1471" si="112">IF(AF1411&lt;2, "0-1 yrs (New)", IF(AF1411&lt;5, "2-4 yrs (Mid)", IF(AF1411&lt;10, "5-9 yrs (Senior)", "10+ yrs (Veteran)")))</f>
        <v>10+ yrs (Veteran)</v>
      </c>
      <c r="AM1411" t="str">
        <f t="shared" ref="AM1411:AM1471" si="113">IF(S1411&lt;3000, "Low (&lt;3K)", IF(S1411&lt;7000, "Mid (3K-7K)", IF(S1411&lt;12000, "High (7K-12K)", "Very High (12K+)")))</f>
        <v>Mid (3K-7K)</v>
      </c>
      <c r="AN1411" t="str">
        <f t="shared" ref="AN1411:AN1471" si="114">IF(AND(W1411="Yes", Q1411&lt;=2), "High Risk", "Normal")</f>
        <v>Normal</v>
      </c>
    </row>
    <row r="1412" spans="1:40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 t="shared" si="110"/>
        <v>0</v>
      </c>
      <c r="AK1412" t="str">
        <f t="shared" si="111"/>
        <v>35-44</v>
      </c>
      <c r="AL1412" t="str">
        <f t="shared" si="112"/>
        <v>10+ yrs (Veteran)</v>
      </c>
      <c r="AM1412" t="str">
        <f t="shared" si="113"/>
        <v>Mid (3K-7K)</v>
      </c>
      <c r="AN1412" t="str">
        <f t="shared" si="114"/>
        <v>Normal</v>
      </c>
    </row>
    <row r="1413" spans="1:40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 t="shared" si="110"/>
        <v>0</v>
      </c>
      <c r="AK1413" t="str">
        <f t="shared" si="111"/>
        <v>25-34</v>
      </c>
      <c r="AL1413" t="str">
        <f t="shared" si="112"/>
        <v>2-4 yrs (Mid)</v>
      </c>
      <c r="AM1413" t="str">
        <f t="shared" si="113"/>
        <v>Low (&lt;3K)</v>
      </c>
      <c r="AN1413" t="str">
        <f t="shared" si="114"/>
        <v>Normal</v>
      </c>
    </row>
    <row r="1414" spans="1:40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 t="shared" si="110"/>
        <v>0</v>
      </c>
      <c r="AK1414" t="str">
        <f t="shared" si="111"/>
        <v>25-34</v>
      </c>
      <c r="AL1414" t="str">
        <f t="shared" si="112"/>
        <v>10+ yrs (Veteran)</v>
      </c>
      <c r="AM1414" t="str">
        <f t="shared" si="113"/>
        <v>Mid (3K-7K)</v>
      </c>
      <c r="AN1414" t="str">
        <f t="shared" si="114"/>
        <v>Normal</v>
      </c>
    </row>
    <row r="1415" spans="1:40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 t="shared" si="110"/>
        <v>0</v>
      </c>
      <c r="AK1415" t="str">
        <f t="shared" si="111"/>
        <v>25-34</v>
      </c>
      <c r="AL1415" t="str">
        <f t="shared" si="112"/>
        <v>2-4 yrs (Mid)</v>
      </c>
      <c r="AM1415" t="str">
        <f t="shared" si="113"/>
        <v>Mid (3K-7K)</v>
      </c>
      <c r="AN1415" t="str">
        <f t="shared" si="114"/>
        <v>Normal</v>
      </c>
    </row>
    <row r="1416" spans="1:40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 t="shared" si="110"/>
        <v>0</v>
      </c>
      <c r="AK1416" t="str">
        <f t="shared" si="111"/>
        <v>45-54</v>
      </c>
      <c r="AL1416" t="str">
        <f t="shared" si="112"/>
        <v>10+ yrs (Veteran)</v>
      </c>
      <c r="AM1416" t="str">
        <f t="shared" si="113"/>
        <v>High (7K-12K)</v>
      </c>
      <c r="AN1416" t="str">
        <f t="shared" si="114"/>
        <v>Normal</v>
      </c>
    </row>
    <row r="1417" spans="1:40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 t="shared" si="110"/>
        <v>0</v>
      </c>
      <c r="AK1417" t="str">
        <f t="shared" si="111"/>
        <v>25-34</v>
      </c>
      <c r="AL1417" t="str">
        <f t="shared" si="112"/>
        <v>0-1 yrs (New)</v>
      </c>
      <c r="AM1417" t="str">
        <f t="shared" si="113"/>
        <v>Low (&lt;3K)</v>
      </c>
      <c r="AN1417" t="str">
        <f t="shared" si="114"/>
        <v>Normal</v>
      </c>
    </row>
    <row r="1418" spans="1:40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 t="shared" si="110"/>
        <v>0</v>
      </c>
      <c r="AK1418" t="str">
        <f t="shared" si="111"/>
        <v>35-44</v>
      </c>
      <c r="AL1418" t="str">
        <f t="shared" si="112"/>
        <v>10+ yrs (Veteran)</v>
      </c>
      <c r="AM1418" t="str">
        <f t="shared" si="113"/>
        <v>Mid (3K-7K)</v>
      </c>
      <c r="AN1418" t="str">
        <f t="shared" si="114"/>
        <v>Normal</v>
      </c>
    </row>
    <row r="1419" spans="1:40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 t="shared" si="110"/>
        <v>0</v>
      </c>
      <c r="AK1419" t="str">
        <f t="shared" si="111"/>
        <v>25-34</v>
      </c>
      <c r="AL1419" t="str">
        <f t="shared" si="112"/>
        <v>2-4 yrs (Mid)</v>
      </c>
      <c r="AM1419" t="str">
        <f t="shared" si="113"/>
        <v>Mid (3K-7K)</v>
      </c>
      <c r="AN1419" t="str">
        <f t="shared" si="114"/>
        <v>Normal</v>
      </c>
    </row>
    <row r="1420" spans="1:40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 t="shared" si="110"/>
        <v>0</v>
      </c>
      <c r="AK1420" t="str">
        <f t="shared" si="111"/>
        <v>35-44</v>
      </c>
      <c r="AL1420" t="str">
        <f t="shared" si="112"/>
        <v>5-9 yrs (Senior)</v>
      </c>
      <c r="AM1420" t="str">
        <f t="shared" si="113"/>
        <v>Mid (3K-7K)</v>
      </c>
      <c r="AN1420" t="str">
        <f t="shared" si="114"/>
        <v>Normal</v>
      </c>
    </row>
    <row r="1421" spans="1:40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 t="shared" si="110"/>
        <v>0</v>
      </c>
      <c r="AK1421" t="str">
        <f t="shared" si="111"/>
        <v>35-44</v>
      </c>
      <c r="AL1421" t="str">
        <f t="shared" si="112"/>
        <v>2-4 yrs (Mid)</v>
      </c>
      <c r="AM1421" t="str">
        <f t="shared" si="113"/>
        <v>Mid (3K-7K)</v>
      </c>
      <c r="AN1421" t="str">
        <f t="shared" si="114"/>
        <v>High Risk</v>
      </c>
    </row>
    <row r="1422" spans="1:40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 t="shared" si="110"/>
        <v>0</v>
      </c>
      <c r="AK1422" t="str">
        <f t="shared" si="111"/>
        <v>35-44</v>
      </c>
      <c r="AL1422" t="str">
        <f t="shared" si="112"/>
        <v>5-9 yrs (Senior)</v>
      </c>
      <c r="AM1422" t="str">
        <f t="shared" si="113"/>
        <v>Low (&lt;3K)</v>
      </c>
      <c r="AN1422" t="str">
        <f t="shared" si="114"/>
        <v>Normal</v>
      </c>
    </row>
    <row r="1423" spans="1:40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 t="shared" si="110"/>
        <v>0</v>
      </c>
      <c r="AK1423" t="str">
        <f t="shared" si="111"/>
        <v>45-54</v>
      </c>
      <c r="AL1423" t="str">
        <f t="shared" si="112"/>
        <v>10+ yrs (Veteran)</v>
      </c>
      <c r="AM1423" t="str">
        <f t="shared" si="113"/>
        <v>High (7K-12K)</v>
      </c>
      <c r="AN1423" t="str">
        <f t="shared" si="114"/>
        <v>Normal</v>
      </c>
    </row>
    <row r="1424" spans="1:40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 t="shared" si="110"/>
        <v>0</v>
      </c>
      <c r="AK1424" t="str">
        <f t="shared" si="111"/>
        <v>35-44</v>
      </c>
      <c r="AL1424" t="str">
        <f t="shared" si="112"/>
        <v>2-4 yrs (Mid)</v>
      </c>
      <c r="AM1424" t="str">
        <f t="shared" si="113"/>
        <v>Low (&lt;3K)</v>
      </c>
      <c r="AN1424" t="str">
        <f t="shared" si="114"/>
        <v>Normal</v>
      </c>
    </row>
    <row r="1425" spans="1:40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 t="shared" si="110"/>
        <v>0</v>
      </c>
      <c r="AK1425" t="str">
        <f t="shared" si="111"/>
        <v>Under 25</v>
      </c>
      <c r="AL1425" t="str">
        <f t="shared" si="112"/>
        <v>2-4 yrs (Mid)</v>
      </c>
      <c r="AM1425" t="str">
        <f t="shared" si="113"/>
        <v>Mid (3K-7K)</v>
      </c>
      <c r="AN1425" t="str">
        <f t="shared" si="114"/>
        <v>Normal</v>
      </c>
    </row>
    <row r="1426" spans="1:40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 t="shared" si="110"/>
        <v>0</v>
      </c>
      <c r="AK1426" t="str">
        <f t="shared" si="111"/>
        <v>35-44</v>
      </c>
      <c r="AL1426" t="str">
        <f t="shared" si="112"/>
        <v>10+ yrs (Veteran)</v>
      </c>
      <c r="AM1426" t="str">
        <f t="shared" si="113"/>
        <v>Mid (3K-7K)</v>
      </c>
      <c r="AN1426" t="str">
        <f t="shared" si="114"/>
        <v>Normal</v>
      </c>
    </row>
    <row r="1427" spans="1:40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 t="shared" si="110"/>
        <v>0</v>
      </c>
      <c r="AK1427" t="str">
        <f t="shared" si="111"/>
        <v>25-34</v>
      </c>
      <c r="AL1427" t="str">
        <f t="shared" si="112"/>
        <v>5-9 yrs (Senior)</v>
      </c>
      <c r="AM1427" t="str">
        <f t="shared" si="113"/>
        <v>Mid (3K-7K)</v>
      </c>
      <c r="AN1427" t="str">
        <f t="shared" si="114"/>
        <v>Normal</v>
      </c>
    </row>
    <row r="1428" spans="1:40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 t="shared" si="110"/>
        <v>0</v>
      </c>
      <c r="AK1428" t="str">
        <f t="shared" si="111"/>
        <v>25-34</v>
      </c>
      <c r="AL1428" t="str">
        <f t="shared" si="112"/>
        <v>5-9 yrs (Senior)</v>
      </c>
      <c r="AM1428" t="str">
        <f t="shared" si="113"/>
        <v>Low (&lt;3K)</v>
      </c>
      <c r="AN1428" t="str">
        <f t="shared" si="114"/>
        <v>Normal</v>
      </c>
    </row>
    <row r="1429" spans="1:40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 t="shared" si="110"/>
        <v>0</v>
      </c>
      <c r="AK1429" t="str">
        <f t="shared" si="111"/>
        <v>35-44</v>
      </c>
      <c r="AL1429" t="str">
        <f t="shared" si="112"/>
        <v>0-1 yrs (New)</v>
      </c>
      <c r="AM1429" t="str">
        <f t="shared" si="113"/>
        <v>Low (&lt;3K)</v>
      </c>
      <c r="AN1429" t="str">
        <f t="shared" si="114"/>
        <v>Normal</v>
      </c>
    </row>
    <row r="1430" spans="1:40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 t="shared" si="110"/>
        <v>0</v>
      </c>
      <c r="AK1430" t="str">
        <f t="shared" si="111"/>
        <v>25-34</v>
      </c>
      <c r="AL1430" t="str">
        <f t="shared" si="112"/>
        <v>2-4 yrs (Mid)</v>
      </c>
      <c r="AM1430" t="str">
        <f t="shared" si="113"/>
        <v>Low (&lt;3K)</v>
      </c>
      <c r="AN1430" t="str">
        <f t="shared" si="114"/>
        <v>Normal</v>
      </c>
    </row>
    <row r="1431" spans="1:40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 t="shared" si="110"/>
        <v>0</v>
      </c>
      <c r="AK1431" t="str">
        <f t="shared" si="111"/>
        <v>35-44</v>
      </c>
      <c r="AL1431" t="str">
        <f t="shared" si="112"/>
        <v>5-9 yrs (Senior)</v>
      </c>
      <c r="AM1431" t="str">
        <f t="shared" si="113"/>
        <v>Mid (3K-7K)</v>
      </c>
      <c r="AN1431" t="str">
        <f t="shared" si="114"/>
        <v>Normal</v>
      </c>
    </row>
    <row r="1432" spans="1:40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 t="shared" si="110"/>
        <v>0</v>
      </c>
      <c r="AK1432" t="str">
        <f t="shared" si="111"/>
        <v>35-44</v>
      </c>
      <c r="AL1432" t="str">
        <f t="shared" si="112"/>
        <v>10+ yrs (Veteran)</v>
      </c>
      <c r="AM1432" t="str">
        <f t="shared" si="113"/>
        <v>Very High (12K+)</v>
      </c>
      <c r="AN1432" t="str">
        <f t="shared" si="114"/>
        <v>Normal</v>
      </c>
    </row>
    <row r="1433" spans="1:40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 t="shared" si="110"/>
        <v>0</v>
      </c>
      <c r="AK1433" t="str">
        <f t="shared" si="111"/>
        <v>25-34</v>
      </c>
      <c r="AL1433" t="str">
        <f t="shared" si="112"/>
        <v>10+ yrs (Veteran)</v>
      </c>
      <c r="AM1433" t="str">
        <f t="shared" si="113"/>
        <v>High (7K-12K)</v>
      </c>
      <c r="AN1433" t="str">
        <f t="shared" si="114"/>
        <v>Normal</v>
      </c>
    </row>
    <row r="1434" spans="1:40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 t="shared" si="110"/>
        <v>0</v>
      </c>
      <c r="AK1434" t="str">
        <f t="shared" si="111"/>
        <v>35-44</v>
      </c>
      <c r="AL1434" t="str">
        <f t="shared" si="112"/>
        <v>10+ yrs (Veteran)</v>
      </c>
      <c r="AM1434" t="str">
        <f t="shared" si="113"/>
        <v>Very High (12K+)</v>
      </c>
      <c r="AN1434" t="str">
        <f t="shared" si="114"/>
        <v>Normal</v>
      </c>
    </row>
    <row r="1435" spans="1:40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 t="shared" si="110"/>
        <v>0</v>
      </c>
      <c r="AK1435" t="str">
        <f t="shared" si="111"/>
        <v>25-34</v>
      </c>
      <c r="AL1435" t="str">
        <f t="shared" si="112"/>
        <v>5-9 yrs (Senior)</v>
      </c>
      <c r="AM1435" t="str">
        <f t="shared" si="113"/>
        <v>Mid (3K-7K)</v>
      </c>
      <c r="AN1435" t="str">
        <f t="shared" si="114"/>
        <v>Normal</v>
      </c>
    </row>
    <row r="1436" spans="1:40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 t="shared" si="110"/>
        <v>0</v>
      </c>
      <c r="AK1436" t="str">
        <f t="shared" si="111"/>
        <v>45-54</v>
      </c>
      <c r="AL1436" t="str">
        <f t="shared" si="112"/>
        <v>5-9 yrs (Senior)</v>
      </c>
      <c r="AM1436" t="str">
        <f t="shared" si="113"/>
        <v>Mid (3K-7K)</v>
      </c>
      <c r="AN1436" t="str">
        <f t="shared" si="114"/>
        <v>Normal</v>
      </c>
    </row>
    <row r="1437" spans="1:40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 t="shared" si="110"/>
        <v>0</v>
      </c>
      <c r="AK1437" t="str">
        <f t="shared" si="111"/>
        <v>35-44</v>
      </c>
      <c r="AL1437" t="str">
        <f t="shared" si="112"/>
        <v>2-4 yrs (Mid)</v>
      </c>
      <c r="AM1437" t="str">
        <f t="shared" si="113"/>
        <v>Low (&lt;3K)</v>
      </c>
      <c r="AN1437" t="str">
        <f t="shared" si="114"/>
        <v>Normal</v>
      </c>
    </row>
    <row r="1438" spans="1:40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 t="shared" si="110"/>
        <v>0</v>
      </c>
      <c r="AK1438" t="str">
        <f t="shared" si="111"/>
        <v>Under 25</v>
      </c>
      <c r="AL1438" t="str">
        <f t="shared" si="112"/>
        <v>2-4 yrs (Mid)</v>
      </c>
      <c r="AM1438" t="str">
        <f t="shared" si="113"/>
        <v>Low (&lt;3K)</v>
      </c>
      <c r="AN1438" t="str">
        <f t="shared" si="114"/>
        <v>High Risk</v>
      </c>
    </row>
    <row r="1439" spans="1:40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 t="shared" si="110"/>
        <v>0</v>
      </c>
      <c r="AK1439" t="str">
        <f t="shared" si="111"/>
        <v>35-44</v>
      </c>
      <c r="AL1439" t="str">
        <f t="shared" si="112"/>
        <v>5-9 yrs (Senior)</v>
      </c>
      <c r="AM1439" t="str">
        <f t="shared" si="113"/>
        <v>Very High (12K+)</v>
      </c>
      <c r="AN1439" t="str">
        <f t="shared" si="114"/>
        <v>Normal</v>
      </c>
    </row>
    <row r="1440" spans="1:40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 t="shared" si="110"/>
        <v>1</v>
      </c>
      <c r="AK1440" t="str">
        <f t="shared" si="111"/>
        <v>Under 25</v>
      </c>
      <c r="AL1440" t="str">
        <f t="shared" si="112"/>
        <v>0-1 yrs (New)</v>
      </c>
      <c r="AM1440" t="str">
        <f t="shared" si="113"/>
        <v>Low (&lt;3K)</v>
      </c>
      <c r="AN1440" t="str">
        <f t="shared" si="114"/>
        <v>Normal</v>
      </c>
    </row>
    <row r="1441" spans="1:40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 t="shared" si="110"/>
        <v>0</v>
      </c>
      <c r="AK1441" t="str">
        <f t="shared" si="111"/>
        <v>35-44</v>
      </c>
      <c r="AL1441" t="str">
        <f t="shared" si="112"/>
        <v>5-9 yrs (Senior)</v>
      </c>
      <c r="AM1441" t="str">
        <f t="shared" si="113"/>
        <v>High (7K-12K)</v>
      </c>
      <c r="AN1441" t="str">
        <f t="shared" si="114"/>
        <v>Normal</v>
      </c>
    </row>
    <row r="1442" spans="1:40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 t="shared" si="110"/>
        <v>0</v>
      </c>
      <c r="AK1442" t="str">
        <f t="shared" si="111"/>
        <v>35-44</v>
      </c>
      <c r="AL1442" t="str">
        <f t="shared" si="112"/>
        <v>2-4 yrs (Mid)</v>
      </c>
      <c r="AM1442" t="str">
        <f t="shared" si="113"/>
        <v>Mid (3K-7K)</v>
      </c>
      <c r="AN1442" t="str">
        <f t="shared" si="114"/>
        <v>Normal</v>
      </c>
    </row>
    <row r="1443" spans="1:40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 t="shared" si="110"/>
        <v>0</v>
      </c>
      <c r="AK1443" t="str">
        <f t="shared" si="111"/>
        <v>55+</v>
      </c>
      <c r="AL1443" t="str">
        <f t="shared" si="112"/>
        <v>10+ yrs (Veteran)</v>
      </c>
      <c r="AM1443" t="str">
        <f t="shared" si="113"/>
        <v>Mid (3K-7K)</v>
      </c>
      <c r="AN1443" t="str">
        <f t="shared" si="114"/>
        <v>Normal</v>
      </c>
    </row>
    <row r="1444" spans="1:40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 t="shared" si="110"/>
        <v>1</v>
      </c>
      <c r="AK1444" t="str">
        <f t="shared" si="111"/>
        <v>25-34</v>
      </c>
      <c r="AL1444" t="str">
        <f t="shared" si="112"/>
        <v>2-4 yrs (Mid)</v>
      </c>
      <c r="AM1444" t="str">
        <f t="shared" si="113"/>
        <v>Mid (3K-7K)</v>
      </c>
      <c r="AN1444" t="str">
        <f t="shared" si="114"/>
        <v>Normal</v>
      </c>
    </row>
    <row r="1445" spans="1:40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 t="shared" si="110"/>
        <v>0</v>
      </c>
      <c r="AK1445" t="str">
        <f t="shared" si="111"/>
        <v>35-44</v>
      </c>
      <c r="AL1445" t="str">
        <f t="shared" si="112"/>
        <v>10+ yrs (Veteran)</v>
      </c>
      <c r="AM1445" t="str">
        <f t="shared" si="113"/>
        <v>Very High (12K+)</v>
      </c>
      <c r="AN1445" t="str">
        <f t="shared" si="114"/>
        <v>Normal</v>
      </c>
    </row>
    <row r="1446" spans="1:40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 t="shared" si="110"/>
        <v>1</v>
      </c>
      <c r="AK1446" t="str">
        <f t="shared" si="111"/>
        <v>55+</v>
      </c>
      <c r="AL1446" t="str">
        <f t="shared" si="112"/>
        <v>10+ yrs (Veteran)</v>
      </c>
      <c r="AM1446" t="str">
        <f t="shared" si="113"/>
        <v>Low (&lt;3K)</v>
      </c>
      <c r="AN1446" t="str">
        <f t="shared" si="114"/>
        <v>Normal</v>
      </c>
    </row>
    <row r="1447" spans="1:40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 t="shared" si="110"/>
        <v>0</v>
      </c>
      <c r="AK1447" t="str">
        <f t="shared" si="111"/>
        <v>35-44</v>
      </c>
      <c r="AL1447" t="str">
        <f t="shared" si="112"/>
        <v>10+ yrs (Veteran)</v>
      </c>
      <c r="AM1447" t="str">
        <f t="shared" si="113"/>
        <v>Very High (12K+)</v>
      </c>
      <c r="AN1447" t="str">
        <f t="shared" si="114"/>
        <v>Normal</v>
      </c>
    </row>
    <row r="1448" spans="1:40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 t="shared" si="110"/>
        <v>0</v>
      </c>
      <c r="AK1448" t="str">
        <f t="shared" si="111"/>
        <v>25-34</v>
      </c>
      <c r="AL1448" t="str">
        <f t="shared" si="112"/>
        <v>5-9 yrs (Senior)</v>
      </c>
      <c r="AM1448" t="str">
        <f t="shared" si="113"/>
        <v>Mid (3K-7K)</v>
      </c>
      <c r="AN1448" t="str">
        <f t="shared" si="114"/>
        <v>Normal</v>
      </c>
    </row>
    <row r="1449" spans="1:40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 t="shared" si="110"/>
        <v>0</v>
      </c>
      <c r="AK1449" t="str">
        <f t="shared" si="111"/>
        <v>35-44</v>
      </c>
      <c r="AL1449" t="str">
        <f t="shared" si="112"/>
        <v>10+ yrs (Veteran)</v>
      </c>
      <c r="AM1449" t="str">
        <f t="shared" si="113"/>
        <v>Mid (3K-7K)</v>
      </c>
      <c r="AN1449" t="str">
        <f t="shared" si="114"/>
        <v>Normal</v>
      </c>
    </row>
    <row r="1450" spans="1:40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 t="shared" si="110"/>
        <v>0</v>
      </c>
      <c r="AK1450" t="str">
        <f t="shared" si="111"/>
        <v>35-44</v>
      </c>
      <c r="AL1450" t="str">
        <f t="shared" si="112"/>
        <v>5-9 yrs (Senior)</v>
      </c>
      <c r="AM1450" t="str">
        <f t="shared" si="113"/>
        <v>High (7K-12K)</v>
      </c>
      <c r="AN1450" t="str">
        <f t="shared" si="114"/>
        <v>Normal</v>
      </c>
    </row>
    <row r="1451" spans="1:40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 t="shared" si="110"/>
        <v>0</v>
      </c>
      <c r="AK1451" t="str">
        <f t="shared" si="111"/>
        <v>25-34</v>
      </c>
      <c r="AL1451" t="str">
        <f t="shared" si="112"/>
        <v>2-4 yrs (Mid)</v>
      </c>
      <c r="AM1451" t="str">
        <f t="shared" si="113"/>
        <v>Low (&lt;3K)</v>
      </c>
      <c r="AN1451" t="str">
        <f t="shared" si="114"/>
        <v>Normal</v>
      </c>
    </row>
    <row r="1452" spans="1:40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 t="shared" si="110"/>
        <v>0</v>
      </c>
      <c r="AK1452" t="str">
        <f t="shared" si="111"/>
        <v>35-44</v>
      </c>
      <c r="AL1452" t="str">
        <f t="shared" si="112"/>
        <v>5-9 yrs (Senior)</v>
      </c>
      <c r="AM1452" t="str">
        <f t="shared" si="113"/>
        <v>High (7K-12K)</v>
      </c>
      <c r="AN1452" t="str">
        <f t="shared" si="114"/>
        <v>Normal</v>
      </c>
    </row>
    <row r="1453" spans="1:40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 t="shared" si="110"/>
        <v>0</v>
      </c>
      <c r="AK1453" t="str">
        <f t="shared" si="111"/>
        <v>35-44</v>
      </c>
      <c r="AL1453" t="str">
        <f t="shared" si="112"/>
        <v>10+ yrs (Veteran)</v>
      </c>
      <c r="AM1453" t="str">
        <f t="shared" si="113"/>
        <v>Mid (3K-7K)</v>
      </c>
      <c r="AN1453" t="str">
        <f t="shared" si="114"/>
        <v>Normal</v>
      </c>
    </row>
    <row r="1454" spans="1:40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 t="shared" si="110"/>
        <v>1</v>
      </c>
      <c r="AK1454" t="str">
        <f t="shared" si="111"/>
        <v>45-54</v>
      </c>
      <c r="AL1454" t="str">
        <f t="shared" si="112"/>
        <v>5-9 yrs (Senior)</v>
      </c>
      <c r="AM1454" t="str">
        <f t="shared" si="113"/>
        <v>Mid (3K-7K)</v>
      </c>
      <c r="AN1454" t="str">
        <f t="shared" si="114"/>
        <v>Normal</v>
      </c>
    </row>
    <row r="1455" spans="1:40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 t="shared" si="110"/>
        <v>0</v>
      </c>
      <c r="AK1455" t="str">
        <f t="shared" si="111"/>
        <v>35-44</v>
      </c>
      <c r="AL1455" t="str">
        <f t="shared" si="112"/>
        <v>5-9 yrs (Senior)</v>
      </c>
      <c r="AM1455" t="str">
        <f t="shared" si="113"/>
        <v>Mid (3K-7K)</v>
      </c>
      <c r="AN1455" t="str">
        <f t="shared" si="114"/>
        <v>Normal</v>
      </c>
    </row>
    <row r="1456" spans="1:40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 t="shared" si="110"/>
        <v>0</v>
      </c>
      <c r="AK1456" t="str">
        <f t="shared" si="111"/>
        <v>45-54</v>
      </c>
      <c r="AL1456" t="str">
        <f t="shared" si="112"/>
        <v>5-9 yrs (Senior)</v>
      </c>
      <c r="AM1456" t="str">
        <f t="shared" si="113"/>
        <v>Mid (3K-7K)</v>
      </c>
      <c r="AN1456" t="str">
        <f t="shared" si="114"/>
        <v>Normal</v>
      </c>
    </row>
    <row r="1457" spans="1:40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 t="shared" si="110"/>
        <v>0</v>
      </c>
      <c r="AK1457" t="str">
        <f t="shared" si="111"/>
        <v>35-44</v>
      </c>
      <c r="AL1457" t="str">
        <f t="shared" si="112"/>
        <v>2-4 yrs (Mid)</v>
      </c>
      <c r="AM1457" t="str">
        <f t="shared" si="113"/>
        <v>Low (&lt;3K)</v>
      </c>
      <c r="AN1457" t="str">
        <f t="shared" si="114"/>
        <v>Normal</v>
      </c>
    </row>
    <row r="1458" spans="1:40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 t="shared" si="110"/>
        <v>0</v>
      </c>
      <c r="AK1458" t="str">
        <f t="shared" si="111"/>
        <v>35-44</v>
      </c>
      <c r="AL1458" t="str">
        <f t="shared" si="112"/>
        <v>10+ yrs (Veteran)</v>
      </c>
      <c r="AM1458" t="str">
        <f t="shared" si="113"/>
        <v>Mid (3K-7K)</v>
      </c>
      <c r="AN1458" t="str">
        <f t="shared" si="114"/>
        <v>Normal</v>
      </c>
    </row>
    <row r="1459" spans="1:40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 t="shared" si="110"/>
        <v>0</v>
      </c>
      <c r="AK1459" t="str">
        <f t="shared" si="111"/>
        <v>35-44</v>
      </c>
      <c r="AL1459" t="str">
        <f t="shared" si="112"/>
        <v>5-9 yrs (Senior)</v>
      </c>
      <c r="AM1459" t="str">
        <f t="shared" si="113"/>
        <v>Low (&lt;3K)</v>
      </c>
      <c r="AN1459" t="str">
        <f t="shared" si="114"/>
        <v>Normal</v>
      </c>
    </row>
    <row r="1460" spans="1:40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 t="shared" si="110"/>
        <v>0</v>
      </c>
      <c r="AK1460" t="str">
        <f t="shared" si="111"/>
        <v>35-44</v>
      </c>
      <c r="AL1460" t="str">
        <f t="shared" si="112"/>
        <v>2-4 yrs (Mid)</v>
      </c>
      <c r="AM1460" t="str">
        <f t="shared" si="113"/>
        <v>Low (&lt;3K)</v>
      </c>
      <c r="AN1460" t="str">
        <f t="shared" si="114"/>
        <v>Normal</v>
      </c>
    </row>
    <row r="1461" spans="1:40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 t="shared" si="110"/>
        <v>0</v>
      </c>
      <c r="AK1461" t="str">
        <f t="shared" si="111"/>
        <v>25-34</v>
      </c>
      <c r="AL1461" t="str">
        <f t="shared" si="112"/>
        <v>2-4 yrs (Mid)</v>
      </c>
      <c r="AM1461" t="str">
        <f t="shared" si="113"/>
        <v>Mid (3K-7K)</v>
      </c>
      <c r="AN1461" t="str">
        <f t="shared" si="114"/>
        <v>High Risk</v>
      </c>
    </row>
    <row r="1462" spans="1:40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 t="shared" si="110"/>
        <v>0</v>
      </c>
      <c r="AK1462" t="str">
        <f t="shared" si="111"/>
        <v>25-34</v>
      </c>
      <c r="AL1462" t="str">
        <f t="shared" si="112"/>
        <v>5-9 yrs (Senior)</v>
      </c>
      <c r="AM1462" t="str">
        <f t="shared" si="113"/>
        <v>Mid (3K-7K)</v>
      </c>
      <c r="AN1462" t="str">
        <f t="shared" si="114"/>
        <v>Normal</v>
      </c>
    </row>
    <row r="1463" spans="1:40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 t="shared" si="110"/>
        <v>1</v>
      </c>
      <c r="AK1463" t="str">
        <f t="shared" si="111"/>
        <v>45-54</v>
      </c>
      <c r="AL1463" t="str">
        <f t="shared" si="112"/>
        <v>2-4 yrs (Mid)</v>
      </c>
      <c r="AM1463" t="str">
        <f t="shared" si="113"/>
        <v>High (7K-12K)</v>
      </c>
      <c r="AN1463" t="str">
        <f t="shared" si="114"/>
        <v>High Risk</v>
      </c>
    </row>
    <row r="1464" spans="1:40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 t="shared" si="110"/>
        <v>0</v>
      </c>
      <c r="AK1464" t="str">
        <f t="shared" si="111"/>
        <v>35-44</v>
      </c>
      <c r="AL1464" t="str">
        <f t="shared" si="112"/>
        <v>10+ yrs (Veteran)</v>
      </c>
      <c r="AM1464" t="str">
        <f t="shared" si="113"/>
        <v>Very High (12K+)</v>
      </c>
      <c r="AN1464" t="str">
        <f t="shared" si="114"/>
        <v>Normal</v>
      </c>
    </row>
    <row r="1465" spans="1:40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 t="shared" si="110"/>
        <v>0</v>
      </c>
      <c r="AK1465" t="str">
        <f t="shared" si="111"/>
        <v>25-34</v>
      </c>
      <c r="AL1465" t="str">
        <f t="shared" si="112"/>
        <v>5-9 yrs (Senior)</v>
      </c>
      <c r="AM1465" t="str">
        <f t="shared" si="113"/>
        <v>High (7K-12K)</v>
      </c>
      <c r="AN1465" t="str">
        <f t="shared" si="114"/>
        <v>Normal</v>
      </c>
    </row>
    <row r="1466" spans="1:40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 t="shared" si="110"/>
        <v>0</v>
      </c>
      <c r="AK1466" t="str">
        <f t="shared" si="111"/>
        <v>25-34</v>
      </c>
      <c r="AL1466" t="str">
        <f t="shared" si="112"/>
        <v>2-4 yrs (Mid)</v>
      </c>
      <c r="AM1466" t="str">
        <f t="shared" si="113"/>
        <v>Low (&lt;3K)</v>
      </c>
      <c r="AN1466" t="str">
        <f t="shared" si="114"/>
        <v>Normal</v>
      </c>
    </row>
    <row r="1467" spans="1:40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 t="shared" si="110"/>
        <v>0</v>
      </c>
      <c r="AK1467" t="str">
        <f t="shared" si="111"/>
        <v>35-44</v>
      </c>
      <c r="AL1467" t="str">
        <f t="shared" si="112"/>
        <v>5-9 yrs (Senior)</v>
      </c>
      <c r="AM1467" t="str">
        <f t="shared" si="113"/>
        <v>Low (&lt;3K)</v>
      </c>
      <c r="AN1467" t="str">
        <f t="shared" si="114"/>
        <v>Normal</v>
      </c>
    </row>
    <row r="1468" spans="1:40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 t="shared" si="110"/>
        <v>0</v>
      </c>
      <c r="AK1468" t="str">
        <f t="shared" si="111"/>
        <v>35-44</v>
      </c>
      <c r="AL1468" t="str">
        <f t="shared" si="112"/>
        <v>5-9 yrs (Senior)</v>
      </c>
      <c r="AM1468" t="str">
        <f t="shared" si="113"/>
        <v>High (7K-12K)</v>
      </c>
      <c r="AN1468" t="str">
        <f t="shared" si="114"/>
        <v>Normal</v>
      </c>
    </row>
    <row r="1469" spans="1:40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 t="shared" si="110"/>
        <v>0</v>
      </c>
      <c r="AK1469" t="str">
        <f t="shared" si="111"/>
        <v>25-34</v>
      </c>
      <c r="AL1469" t="str">
        <f t="shared" si="112"/>
        <v>5-9 yrs (Senior)</v>
      </c>
      <c r="AM1469" t="str">
        <f t="shared" si="113"/>
        <v>Mid (3K-7K)</v>
      </c>
      <c r="AN1469" t="str">
        <f t="shared" si="114"/>
        <v>High Risk</v>
      </c>
    </row>
    <row r="1470" spans="1:40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 t="shared" si="110"/>
        <v>0</v>
      </c>
      <c r="AK1470" t="str">
        <f t="shared" si="111"/>
        <v>45-54</v>
      </c>
      <c r="AL1470" t="str">
        <f t="shared" si="112"/>
        <v>5-9 yrs (Senior)</v>
      </c>
      <c r="AM1470" t="str">
        <f t="shared" si="113"/>
        <v>Mid (3K-7K)</v>
      </c>
      <c r="AN1470" t="str">
        <f t="shared" si="114"/>
        <v>Normal</v>
      </c>
    </row>
    <row r="1471" spans="1:40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 t="shared" si="110"/>
        <v>0</v>
      </c>
      <c r="AK1471" t="str">
        <f t="shared" si="111"/>
        <v>25-34</v>
      </c>
      <c r="AL1471" t="str">
        <f t="shared" si="112"/>
        <v>2-4 yrs (Mid)</v>
      </c>
      <c r="AM1471" t="str">
        <f t="shared" si="113"/>
        <v>Mid (3K-7K)</v>
      </c>
      <c r="AN1471" t="str">
        <f t="shared" si="114"/>
        <v>Normal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" sqref="B3"/>
    </sheetView>
  </sheetViews>
  <sheetFormatPr defaultRowHeight="15" x14ac:dyDescent="0.25"/>
  <cols>
    <col min="1" max="1" width="24.7109375" bestFit="1" customWidth="1"/>
    <col min="2" max="2" width="13.28515625" bestFit="1" customWidth="1"/>
    <col min="3" max="3" width="24.7109375" bestFit="1" customWidth="1"/>
  </cols>
  <sheetData>
    <row r="1" spans="1:2" x14ac:dyDescent="0.25">
      <c r="A1" t="s">
        <v>66</v>
      </c>
      <c r="B1" t="s">
        <v>67</v>
      </c>
    </row>
    <row r="2" spans="1:2" ht="21" x14ac:dyDescent="0.35">
      <c r="A2" t="s">
        <v>0</v>
      </c>
      <c r="B2" s="5">
        <f>COUNTBLANK('HR-Employee-Attrition'!A2:A1471)</f>
        <v>0</v>
      </c>
    </row>
    <row r="3" spans="1:2" ht="21" x14ac:dyDescent="0.35">
      <c r="A3" t="s">
        <v>1</v>
      </c>
      <c r="B3" s="5">
        <f>COUNTBLANK('HR-Employee-Attrition'!B2:B1471)</f>
        <v>0</v>
      </c>
    </row>
    <row r="4" spans="1:2" ht="21" x14ac:dyDescent="0.35">
      <c r="A4" t="s">
        <v>4</v>
      </c>
      <c r="B4" s="5">
        <f>COUNTBLANK('HR-Employee-Attrition'!E2:E1471)</f>
        <v>0</v>
      </c>
    </row>
    <row r="5" spans="1:2" ht="21" x14ac:dyDescent="0.35">
      <c r="A5" t="s">
        <v>18</v>
      </c>
      <c r="B5" s="5">
        <f>COUNTBLANK('HR-Employee-Attrition'!S2:S1471)</f>
        <v>0</v>
      </c>
    </row>
    <row r="6" spans="1:2" ht="21" x14ac:dyDescent="0.35">
      <c r="A6" t="s">
        <v>31</v>
      </c>
      <c r="B6" s="5">
        <f>COUNTBLANK('HR-Employee-Attrition'!AF2:AF1471)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HR_Summary_Dashboard</vt:lpstr>
      <vt:lpstr>Pivot_Analysis</vt:lpstr>
      <vt:lpstr>HR-Employee-Attrition</vt:lpstr>
      <vt:lpstr>Data_Quality_Check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Nandanwar</dc:creator>
  <cp:lastModifiedBy>HP</cp:lastModifiedBy>
  <dcterms:created xsi:type="dcterms:W3CDTF">2026-08-23T11:26:49Z</dcterms:created>
  <dcterms:modified xsi:type="dcterms:W3CDTF">2026-08-29T12:57:23Z</dcterms:modified>
</cp:coreProperties>
</file>